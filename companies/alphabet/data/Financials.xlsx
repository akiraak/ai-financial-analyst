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OGL業績" state="visible" r:id="rId4"/>
  </sheets>
  <calcPr calcId="171027"/>
</workbook>
</file>

<file path=xl/sharedStrings.xml><?xml version="1.0" encoding="utf-8"?>
<sst xmlns="http://schemas.openxmlformats.org/spreadsheetml/2006/main" count="65" uniqueCount="44">
  <si>
    <t/>
  </si>
  <si>
    <t>Q1</t>
  </si>
  <si>
    <t>Q2</t>
  </si>
  <si>
    <t>Q3</t>
  </si>
  <si>
    <t>Q4</t>
  </si>
  <si>
    <t>Google Search &amp; other</t>
  </si>
  <si>
    <t>YouTube ads</t>
  </si>
  <si>
    <t>Google Network</t>
  </si>
  <si>
    <t>Google Subscriptions/Platforms/Devices</t>
  </si>
  <si>
    <t>Google Services Total</t>
  </si>
  <si>
    <t>Google Cloud</t>
  </si>
  <si>
    <t>Other Bets</t>
  </si>
  <si>
    <t>売上高 (Total Revenue)</t>
  </si>
  <si>
    <t>売上QoQ</t>
  </si>
  <si>
    <t>売上YoY</t>
  </si>
  <si>
    <t>売上原価</t>
  </si>
  <si>
    <t>粗利益</t>
  </si>
  <si>
    <t>粗利率</t>
  </si>
  <si>
    <t>粗利YoY</t>
  </si>
  <si>
    <t>R&amp;D</t>
  </si>
  <si>
    <t>R&amp;D比率</t>
  </si>
  <si>
    <t>SGA (Sales&amp;Marketing + G&amp;A)</t>
  </si>
  <si>
    <t>SGA比率</t>
  </si>
  <si>
    <t>リストラクチャリング</t>
  </si>
  <si>
    <t>営業費用合計</t>
  </si>
  <si>
    <t>営業費用比率</t>
  </si>
  <si>
    <t>営業費用YoY</t>
  </si>
  <si>
    <t>営業利益</t>
  </si>
  <si>
    <t>営業利益率</t>
  </si>
  <si>
    <t>営業利益YoY</t>
  </si>
  <si>
    <t>その他営業外損益</t>
  </si>
  <si>
    <t>税引前利益</t>
  </si>
  <si>
    <t>法人税等</t>
  </si>
  <si>
    <t>純利益</t>
  </si>
  <si>
    <t>純利益率</t>
  </si>
  <si>
    <t>純利益YoY</t>
  </si>
  <si>
    <t>EPS (基本)</t>
  </si>
  <si>
    <t>EPS (希薄化後)</t>
  </si>
  <si>
    <t>発行済株式数 (基本)</t>
  </si>
  <si>
    <t>発行済株式数 (希薄化後)</t>
  </si>
  <si>
    <t>株価 (四半期末)</t>
  </si>
  <si>
    <t>時価総額</t>
  </si>
  <si>
    <t>PER (直近4Q)</t>
  </si>
  <si>
    <t>PER (4Q平均)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</si>
</sst>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FormatPr defaultRowHeight="15" outlineLevelRow="0" outlineLevelCol="0" x14ac:dyDescent="55"/>
  <cols>
    <col min="1" max="1" width="38" customWidth="1"/>
  </cols>
  <sheetData>
    <row r="1" spans="1:22" x14ac:dyDescent="0.25">
      <c r="A1" t="s">
        <v>0</v>
      </c>
      <c r="B1">
        <v>2020</v>
      </c>
      <c r="F1">
        <v>2021</v>
      </c>
      <c r="J1">
        <v>2022</v>
      </c>
      <c r="N1">
        <v>2023</v>
      </c>
      <c r="R1">
        <v>2024</v>
      </c>
      <c r="V1">
        <v>2025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</v>
      </c>
      <c r="G2" t="s">
        <v>2</v>
      </c>
      <c r="H2" t="s">
        <v>3</v>
      </c>
      <c r="I2" t="s">
        <v>4</v>
      </c>
      <c r="J2" t="s">
        <v>1</v>
      </c>
      <c r="K2" t="s">
        <v>2</v>
      </c>
      <c r="L2" t="s">
        <v>3</v>
      </c>
      <c r="M2" t="s">
        <v>4</v>
      </c>
      <c r="N2" t="s">
        <v>1</v>
      </c>
      <c r="O2" t="s">
        <v>2</v>
      </c>
      <c r="P2" t="s">
        <v>3</v>
      </c>
      <c r="Q2" t="s">
        <v>4</v>
      </c>
      <c r="R2" t="s">
        <v>1</v>
      </c>
      <c r="S2" t="s">
        <v>2</v>
      </c>
      <c r="T2" t="s">
        <v>3</v>
      </c>
      <c r="U2" t="s">
        <v>4</v>
      </c>
      <c r="V2" t="s">
        <v>1</v>
      </c>
      <c r="W2" t="s">
        <v>2</v>
      </c>
      <c r="X2" t="s">
        <v>3</v>
      </c>
      <c r="Y2" t="s">
        <v>4</v>
      </c>
    </row>
    <row r="3" spans="1:25" x14ac:dyDescent="0.25">
      <c r="A3" t="s">
        <v>5</v>
      </c>
      <c r="B3">
        <v>24502</v>
      </c>
      <c r="C3">
        <v>21319</v>
      </c>
      <c r="D3">
        <v>26338</v>
      </c>
      <c r="E3">
        <v>31903</v>
      </c>
      <c r="F3">
        <v>31879</v>
      </c>
      <c r="G3">
        <v>35845</v>
      </c>
      <c r="H3">
        <v>37926</v>
      </c>
      <c r="I3">
        <v>43301</v>
      </c>
      <c r="J3">
        <v>39618</v>
      </c>
      <c r="K3">
        <v>40689</v>
      </c>
      <c r="L3">
        <v>39539</v>
      </c>
      <c r="M3">
        <v>42604</v>
      </c>
      <c r="N3">
        <v>40359</v>
      </c>
      <c r="O3">
        <v>42628</v>
      </c>
      <c r="P3">
        <v>44026</v>
      </c>
      <c r="Q3">
        <v>48020</v>
      </c>
      <c r="R3">
        <v>46156</v>
      </c>
      <c r="S3">
        <v>48509</v>
      </c>
      <c r="T3">
        <v>49385</v>
      </c>
      <c r="U3">
        <v>54034</v>
      </c>
      <c r="V3">
        <v>50702</v>
      </c>
      <c r="W3">
        <v>54190</v>
      </c>
      <c r="X3">
        <v>56567</v>
      </c>
      <c r="Y3">
        <v>63073</v>
      </c>
    </row>
    <row r="4" spans="1:25" x14ac:dyDescent="0.25">
      <c r="A4" t="s">
        <v>6</v>
      </c>
      <c r="B4">
        <v>4038</v>
      </c>
      <c r="C4">
        <v>3812</v>
      </c>
      <c r="D4">
        <v>5037</v>
      </c>
      <c r="E4">
        <v>6885</v>
      </c>
      <c r="F4">
        <v>6005</v>
      </c>
      <c r="G4">
        <v>7002</v>
      </c>
      <c r="H4">
        <v>7205</v>
      </c>
      <c r="I4">
        <v>8633</v>
      </c>
      <c r="J4">
        <v>6869</v>
      </c>
      <c r="K4">
        <v>7340</v>
      </c>
      <c r="L4">
        <v>7071</v>
      </c>
      <c r="M4">
        <v>7963</v>
      </c>
      <c r="N4">
        <v>6693</v>
      </c>
      <c r="O4">
        <v>7665</v>
      </c>
      <c r="P4">
        <v>7952</v>
      </c>
      <c r="Q4">
        <v>9200</v>
      </c>
      <c r="R4">
        <v>8090</v>
      </c>
      <c r="S4">
        <v>8663</v>
      </c>
      <c r="T4">
        <v>8921</v>
      </c>
      <c r="U4">
        <v>10473</v>
      </c>
      <c r="V4">
        <v>8927</v>
      </c>
      <c r="W4">
        <v>9796</v>
      </c>
      <c r="X4">
        <v>10261</v>
      </c>
      <c r="Y4">
        <v>11383</v>
      </c>
    </row>
    <row r="5" spans="1:25" x14ac:dyDescent="0.25">
      <c r="A5" t="s">
        <v>7</v>
      </c>
      <c r="B5">
        <v>5223</v>
      </c>
      <c r="C5">
        <v>4736</v>
      </c>
      <c r="D5">
        <v>5720</v>
      </c>
      <c r="E5">
        <v>7411</v>
      </c>
      <c r="F5">
        <v>6800</v>
      </c>
      <c r="G5">
        <v>7597</v>
      </c>
      <c r="H5">
        <v>7999</v>
      </c>
      <c r="I5">
        <v>9305</v>
      </c>
      <c r="J5">
        <v>8174</v>
      </c>
      <c r="K5">
        <v>8259</v>
      </c>
      <c r="L5">
        <v>7872</v>
      </c>
      <c r="M5">
        <v>8475</v>
      </c>
      <c r="N5">
        <v>7496</v>
      </c>
      <c r="O5">
        <v>7850</v>
      </c>
      <c r="P5">
        <v>7669</v>
      </c>
      <c r="Q5">
        <v>8297</v>
      </c>
      <c r="R5">
        <v>7413</v>
      </c>
      <c r="S5">
        <v>7444</v>
      </c>
      <c r="T5">
        <v>7548</v>
      </c>
      <c r="U5">
        <v>7954</v>
      </c>
      <c r="V5">
        <v>7256</v>
      </c>
      <c r="W5">
        <v>7354</v>
      </c>
      <c r="X5">
        <v>7354</v>
      </c>
      <c r="Y5">
        <v>7828</v>
      </c>
    </row>
    <row r="6" spans="1:25" x14ac:dyDescent="0.25">
      <c r="A6" t="s">
        <v>8</v>
      </c>
      <c r="B6">
        <v>4435</v>
      </c>
      <c r="C6">
        <v>5124</v>
      </c>
      <c r="D6">
        <v>5478</v>
      </c>
      <c r="E6">
        <v>6674</v>
      </c>
      <c r="F6">
        <v>6494</v>
      </c>
      <c r="G6">
        <v>6623</v>
      </c>
      <c r="H6">
        <v>6754</v>
      </c>
      <c r="I6">
        <v>8161</v>
      </c>
      <c r="J6">
        <v>6811</v>
      </c>
      <c r="K6">
        <v>6553</v>
      </c>
      <c r="L6">
        <v>6895</v>
      </c>
      <c r="M6">
        <v>8796</v>
      </c>
      <c r="N6">
        <v>7413</v>
      </c>
      <c r="O6">
        <v>8142</v>
      </c>
      <c r="P6">
        <v>8339</v>
      </c>
      <c r="Q6">
        <v>10794</v>
      </c>
      <c r="R6">
        <v>8739</v>
      </c>
      <c r="S6">
        <v>9312</v>
      </c>
      <c r="T6">
        <v>10656</v>
      </c>
      <c r="U6">
        <v>11633</v>
      </c>
      <c r="V6">
        <v>10379</v>
      </c>
      <c r="W6">
        <v>11203</v>
      </c>
      <c r="X6">
        <v>12870</v>
      </c>
      <c r="Y6">
        <v>13578</v>
      </c>
    </row>
    <row r="7" spans="1:25" x14ac:dyDescent="0.25">
      <c r="A7" t="s">
        <v>9</v>
      </c>
      <c r="B7">
        <v>38198</v>
      </c>
      <c r="C7">
        <v>34991</v>
      </c>
      <c r="D7">
        <v>42573</v>
      </c>
      <c r="E7">
        <v>52873</v>
      </c>
      <c r="F7">
        <v>51178</v>
      </c>
      <c r="G7">
        <v>57067</v>
      </c>
      <c r="H7">
        <v>59884</v>
      </c>
      <c r="I7">
        <v>69400</v>
      </c>
      <c r="J7">
        <v>61472</v>
      </c>
      <c r="K7">
        <v>62841</v>
      </c>
      <c r="L7">
        <v>61377</v>
      </c>
      <c r="M7">
        <v>67838</v>
      </c>
      <c r="N7">
        <v>61961</v>
      </c>
      <c r="O7">
        <v>66285</v>
      </c>
      <c r="P7">
        <v>67986</v>
      </c>
      <c r="Q7">
        <v>76311</v>
      </c>
      <c r="R7">
        <v>70398</v>
      </c>
      <c r="S7">
        <v>73928</v>
      </c>
      <c r="T7">
        <v>76510</v>
      </c>
      <c r="U7">
        <v>84094</v>
      </c>
      <c r="V7">
        <v>77264</v>
      </c>
      <c r="W7">
        <v>82543</v>
      </c>
      <c r="X7">
        <v>87052</v>
      </c>
      <c r="Y7">
        <v>95862</v>
      </c>
    </row>
    <row r="8" spans="1:25" x14ac:dyDescent="0.25">
      <c r="A8" t="s">
        <v>10</v>
      </c>
      <c r="B8">
        <v>2777</v>
      </c>
      <c r="C8">
        <v>3007</v>
      </c>
      <c r="D8">
        <v>3444</v>
      </c>
      <c r="E8">
        <v>3831</v>
      </c>
      <c r="F8">
        <v>4047</v>
      </c>
      <c r="G8">
        <v>4628</v>
      </c>
      <c r="H8">
        <v>4990</v>
      </c>
      <c r="I8">
        <v>5541</v>
      </c>
      <c r="J8">
        <v>5821</v>
      </c>
      <c r="K8">
        <v>6276</v>
      </c>
      <c r="L8">
        <v>6868</v>
      </c>
      <c r="M8">
        <v>7315</v>
      </c>
      <c r="N8">
        <v>7454</v>
      </c>
      <c r="O8">
        <v>8031</v>
      </c>
      <c r="P8">
        <v>8411</v>
      </c>
      <c r="Q8">
        <v>9192</v>
      </c>
      <c r="R8">
        <v>9574</v>
      </c>
      <c r="S8">
        <v>10347</v>
      </c>
      <c r="T8">
        <v>11353</v>
      </c>
      <c r="U8">
        <v>11955</v>
      </c>
      <c r="V8">
        <v>12260</v>
      </c>
      <c r="W8">
        <v>13624</v>
      </c>
      <c r="X8">
        <v>15157</v>
      </c>
      <c r="Y8">
        <v>17664</v>
      </c>
    </row>
    <row r="9" spans="1:25" x14ac:dyDescent="0.25">
      <c r="A9" t="s">
        <v>11</v>
      </c>
      <c r="B9">
        <v>135</v>
      </c>
      <c r="C9">
        <v>148</v>
      </c>
      <c r="D9">
        <v>178</v>
      </c>
      <c r="E9">
        <v>196</v>
      </c>
      <c r="F9">
        <v>198</v>
      </c>
      <c r="G9">
        <v>192</v>
      </c>
      <c r="H9">
        <v>182</v>
      </c>
      <c r="I9">
        <v>181</v>
      </c>
      <c r="J9">
        <v>440</v>
      </c>
      <c r="K9">
        <v>193</v>
      </c>
      <c r="L9">
        <v>209</v>
      </c>
      <c r="M9">
        <v>226</v>
      </c>
      <c r="N9">
        <v>288</v>
      </c>
      <c r="O9">
        <v>285</v>
      </c>
      <c r="P9">
        <v>297</v>
      </c>
      <c r="Q9">
        <v>657</v>
      </c>
      <c r="R9">
        <v>495</v>
      </c>
      <c r="S9">
        <v>365</v>
      </c>
      <c r="T9">
        <v>388</v>
      </c>
      <c r="U9">
        <v>400</v>
      </c>
      <c r="V9">
        <v>450</v>
      </c>
      <c r="W9">
        <v>373</v>
      </c>
      <c r="X9">
        <v>344</v>
      </c>
      <c r="Y9">
        <v>370</v>
      </c>
    </row>
    <row r="10" spans="1:25" x14ac:dyDescent="0.25">
      <c r="A10" t="s">
        <v>12</v>
      </c>
      <c r="B10">
        <v>41159</v>
      </c>
      <c r="C10">
        <v>38297</v>
      </c>
      <c r="D10">
        <v>46173</v>
      </c>
      <c r="E10">
        <v>56898</v>
      </c>
      <c r="F10">
        <v>55314</v>
      </c>
      <c r="G10">
        <v>61880</v>
      </c>
      <c r="H10">
        <v>65118</v>
      </c>
      <c r="I10">
        <v>75325</v>
      </c>
      <c r="J10">
        <v>68011</v>
      </c>
      <c r="K10">
        <v>69685</v>
      </c>
      <c r="L10">
        <v>69092</v>
      </c>
      <c r="M10">
        <v>76048</v>
      </c>
      <c r="N10">
        <v>69787</v>
      </c>
      <c r="O10">
        <v>74604</v>
      </c>
      <c r="P10">
        <v>76693</v>
      </c>
      <c r="Q10">
        <v>86310</v>
      </c>
      <c r="R10">
        <v>80539</v>
      </c>
      <c r="S10">
        <v>84742</v>
      </c>
      <c r="T10">
        <v>88268</v>
      </c>
      <c r="U10">
        <v>96469</v>
      </c>
      <c r="V10">
        <v>90234</v>
      </c>
      <c r="W10">
        <v>96428</v>
      </c>
      <c r="X10">
        <v>102346</v>
      </c>
      <c r="Y10">
        <v>113828</v>
      </c>
    </row>
    <row r="11" spans="1:25" x14ac:dyDescent="0.25">
      <c r="A11" t="s">
        <v>13</v>
      </c>
      <c r="C11">
        <f>C10/B10-1</f>
      </c>
      <c r="D11">
        <f>D10/C10-1</f>
      </c>
      <c r="E11">
        <f>E10/D10-1</f>
      </c>
      <c r="F11">
        <f>F10/E10-1</f>
      </c>
      <c r="G11">
        <f>G10/F10-1</f>
      </c>
      <c r="H11">
        <f>H10/G10-1</f>
      </c>
      <c r="I11">
        <f>I10/H10-1</f>
      </c>
      <c r="J11">
        <f>J10/I10-1</f>
      </c>
      <c r="K11">
        <f>K10/J10-1</f>
      </c>
      <c r="L11">
        <f>L10/K10-1</f>
      </c>
      <c r="M11">
        <f>M10/L10-1</f>
      </c>
      <c r="N11">
        <f>N10/M10-1</f>
      </c>
      <c r="O11">
        <f>O10/N10-1</f>
      </c>
      <c r="P11">
        <f>P10/O10-1</f>
      </c>
      <c r="Q11">
        <f>Q10/P10-1</f>
      </c>
      <c r="R11">
        <f>R10/Q10-1</f>
      </c>
      <c r="S11">
        <f>S10/R10-1</f>
      </c>
      <c r="T11">
        <f>T10/S10-1</f>
      </c>
      <c r="U11">
        <f>U10/T10-1</f>
      </c>
      <c r="V11">
        <f>V10/U10-1</f>
      </c>
      <c r="W11">
        <f>W10/V10-1</f>
      </c>
      <c r="X11">
        <f>X10/W10-1</f>
      </c>
      <c r="Y11">
        <f>Y10/X10-1</f>
      </c>
    </row>
    <row r="12" spans="1:25" x14ac:dyDescent="0.25">
      <c r="A12" t="s">
        <v>14</v>
      </c>
      <c r="F12">
        <f>F10/B10-1</f>
      </c>
      <c r="G12">
        <f>G10/C10-1</f>
      </c>
      <c r="H12">
        <f>H10/D10-1</f>
      </c>
      <c r="I12">
        <f>I10/E10-1</f>
      </c>
      <c r="J12">
        <f>J10/F10-1</f>
      </c>
      <c r="K12">
        <f>K10/G10-1</f>
      </c>
      <c r="L12">
        <f>L10/H10-1</f>
      </c>
      <c r="M12">
        <f>M10/I10-1</f>
      </c>
      <c r="N12">
        <f>N10/J10-1</f>
      </c>
      <c r="O12">
        <f>O10/K10-1</f>
      </c>
      <c r="P12">
        <f>P10/L10-1</f>
      </c>
      <c r="Q12">
        <f>Q10/M10-1</f>
      </c>
      <c r="R12">
        <f>R10/N10-1</f>
      </c>
      <c r="S12">
        <f>S10/O10-1</f>
      </c>
      <c r="T12">
        <f>T10/P10-1</f>
      </c>
      <c r="U12">
        <f>U10/Q10-1</f>
      </c>
      <c r="V12">
        <f>V10/R10-1</f>
      </c>
      <c r="W12">
        <f>W10/S10-1</f>
      </c>
      <c r="X12">
        <f>X10/T10-1</f>
      </c>
      <c r="Y12">
        <f>Y10/U10-1</f>
      </c>
    </row>
    <row r="13" spans="1:25" x14ac:dyDescent="0.25">
      <c r="A13" t="s">
        <v>15</v>
      </c>
      <c r="B13">
        <v>18982</v>
      </c>
      <c r="C13">
        <v>18553</v>
      </c>
      <c r="D13">
        <v>21117</v>
      </c>
      <c r="E13">
        <v>26080</v>
      </c>
      <c r="F13">
        <v>24103</v>
      </c>
      <c r="G13">
        <v>26227</v>
      </c>
      <c r="H13">
        <v>27621</v>
      </c>
      <c r="I13">
        <v>32988</v>
      </c>
      <c r="J13">
        <v>29599</v>
      </c>
      <c r="K13">
        <v>30104</v>
      </c>
      <c r="L13">
        <v>31158</v>
      </c>
      <c r="M13">
        <v>35342</v>
      </c>
      <c r="N13">
        <v>30612</v>
      </c>
      <c r="O13">
        <v>31916</v>
      </c>
      <c r="P13">
        <v>33229</v>
      </c>
      <c r="Q13">
        <v>37575</v>
      </c>
      <c r="R13">
        <v>33712</v>
      </c>
      <c r="S13">
        <v>35507</v>
      </c>
      <c r="T13">
        <v>36474</v>
      </c>
      <c r="U13">
        <v>40613</v>
      </c>
      <c r="V13">
        <v>36361</v>
      </c>
      <c r="W13">
        <v>39039</v>
      </c>
      <c r="X13">
        <v>41369</v>
      </c>
      <c r="Y13">
        <v>45766</v>
      </c>
    </row>
    <row r="14" spans="1:25" x14ac:dyDescent="0.25">
      <c r="A14" t="s">
        <v>16</v>
      </c>
      <c r="B14">
        <v>22177</v>
      </c>
      <c r="C14">
        <v>19744</v>
      </c>
      <c r="D14">
        <v>25056</v>
      </c>
      <c r="E14">
        <v>30818</v>
      </c>
      <c r="F14">
        <v>31211</v>
      </c>
      <c r="G14">
        <v>35653</v>
      </c>
      <c r="H14">
        <v>37497</v>
      </c>
      <c r="I14">
        <v>42337</v>
      </c>
      <c r="J14">
        <v>38412</v>
      </c>
      <c r="K14">
        <v>39581</v>
      </c>
      <c r="L14">
        <v>37934</v>
      </c>
      <c r="M14">
        <v>40706</v>
      </c>
      <c r="N14">
        <v>39175</v>
      </c>
      <c r="O14">
        <v>42688</v>
      </c>
      <c r="P14">
        <v>43464</v>
      </c>
      <c r="Q14">
        <v>48735</v>
      </c>
      <c r="R14">
        <v>46827</v>
      </c>
      <c r="S14">
        <v>49235</v>
      </c>
      <c r="T14">
        <v>51794</v>
      </c>
      <c r="U14">
        <v>55856</v>
      </c>
      <c r="V14">
        <v>53873</v>
      </c>
      <c r="W14">
        <v>57389</v>
      </c>
      <c r="X14">
        <v>60977</v>
      </c>
      <c r="Y14">
        <v>68062</v>
      </c>
    </row>
    <row r="15" spans="1:25" x14ac:dyDescent="0.25">
      <c r="A15" t="s">
        <v>17</v>
      </c>
      <c r="B15">
        <f>B14/B$10</f>
      </c>
      <c r="C15">
        <f>C14/C$10</f>
      </c>
      <c r="D15">
        <f>D14/D$10</f>
      </c>
      <c r="E15">
        <f>E14/E$10</f>
      </c>
      <c r="F15">
        <f>F14/F$10</f>
      </c>
      <c r="G15">
        <f>G14/G$10</f>
      </c>
      <c r="H15">
        <f>H14/H$10</f>
      </c>
      <c r="I15">
        <f>I14/I$10</f>
      </c>
      <c r="J15">
        <f>J14/J$10</f>
      </c>
      <c r="K15">
        <f>K14/K$10</f>
      </c>
      <c r="L15">
        <f>L14/L$10</f>
      </c>
      <c r="M15">
        <f>M14/M$10</f>
      </c>
      <c r="N15">
        <f>N14/N$10</f>
      </c>
      <c r="O15">
        <f>O14/O$10</f>
      </c>
      <c r="P15">
        <f>P14/P$10</f>
      </c>
      <c r="Q15">
        <f>Q14/Q$10</f>
      </c>
      <c r="R15">
        <f>R14/R$10</f>
      </c>
      <c r="S15">
        <f>S14/S$10</f>
      </c>
      <c r="T15">
        <f>T14/T$10</f>
      </c>
      <c r="U15">
        <f>U14/U$10</f>
      </c>
      <c r="V15">
        <f>V14/V$10</f>
      </c>
      <c r="W15">
        <f>W14/W$10</f>
      </c>
      <c r="X15">
        <f>X14/X$10</f>
      </c>
      <c r="Y15">
        <f>Y14/Y$10</f>
      </c>
    </row>
    <row r="16" spans="1:25" x14ac:dyDescent="0.25">
      <c r="A16" t="s">
        <v>18</v>
      </c>
      <c r="F16">
        <f>F14/B14-1</f>
      </c>
      <c r="G16">
        <f>G14/C14-1</f>
      </c>
      <c r="H16">
        <f>H14/D14-1</f>
      </c>
      <c r="I16">
        <f>I14/E14-1</f>
      </c>
      <c r="J16">
        <f>J14/F14-1</f>
      </c>
      <c r="K16">
        <f>K14/G14-1</f>
      </c>
      <c r="L16">
        <f>L14/H14-1</f>
      </c>
      <c r="M16">
        <f>M14/I14-1</f>
      </c>
      <c r="N16">
        <f>N14/J14-1</f>
      </c>
      <c r="O16">
        <f>O14/K14-1</f>
      </c>
      <c r="P16">
        <f>P14/L14-1</f>
      </c>
      <c r="Q16">
        <f>Q14/M14-1</f>
      </c>
      <c r="R16">
        <f>R14/N14-1</f>
      </c>
      <c r="S16">
        <f>S14/O14-1</f>
      </c>
      <c r="T16">
        <f>T14/P14-1</f>
      </c>
      <c r="U16">
        <f>U14/Q14-1</f>
      </c>
      <c r="V16">
        <f>V14/R14-1</f>
      </c>
      <c r="W16">
        <f>W14/S14-1</f>
      </c>
      <c r="X16">
        <f>X14/T14-1</f>
      </c>
      <c r="Y16">
        <f>Y14/U14-1</f>
      </c>
    </row>
    <row r="17" spans="1:25" x14ac:dyDescent="0.25">
      <c r="A17" t="s">
        <v>19</v>
      </c>
      <c r="B17">
        <v>6820</v>
      </c>
      <c r="C17">
        <v>6875</v>
      </c>
      <c r="D17">
        <v>6856</v>
      </c>
      <c r="E17">
        <v>7022</v>
      </c>
      <c r="F17">
        <v>7485</v>
      </c>
      <c r="G17">
        <v>7675</v>
      </c>
      <c r="H17">
        <v>7694</v>
      </c>
      <c r="I17">
        <v>8708</v>
      </c>
      <c r="J17">
        <v>9119</v>
      </c>
      <c r="K17">
        <v>9841</v>
      </c>
      <c r="L17">
        <v>10273</v>
      </c>
      <c r="M17">
        <v>10267</v>
      </c>
      <c r="N17">
        <v>11468</v>
      </c>
      <c r="O17">
        <v>10588</v>
      </c>
      <c r="P17">
        <v>11258</v>
      </c>
      <c r="Q17">
        <v>12113</v>
      </c>
      <c r="R17">
        <v>11903</v>
      </c>
      <c r="S17">
        <v>11860</v>
      </c>
      <c r="T17">
        <v>12447</v>
      </c>
      <c r="U17">
        <v>13116</v>
      </c>
      <c r="V17">
        <v>13556</v>
      </c>
      <c r="W17">
        <v>13808</v>
      </c>
      <c r="X17">
        <v>15151</v>
      </c>
      <c r="Y17">
        <v>18572</v>
      </c>
    </row>
    <row r="18" spans="1:25" x14ac:dyDescent="0.25">
      <c r="A18" t="s">
        <v>20</v>
      </c>
      <c r="B18">
        <f>B17/B$10</f>
      </c>
      <c r="C18">
        <f>C17/C$10</f>
      </c>
      <c r="D18">
        <f>D17/D$10</f>
      </c>
      <c r="E18">
        <f>E17/E$10</f>
      </c>
      <c r="F18">
        <f>F17/F$10</f>
      </c>
      <c r="G18">
        <f>G17/G$10</f>
      </c>
      <c r="H18">
        <f>H17/H$10</f>
      </c>
      <c r="I18">
        <f>I17/I$10</f>
      </c>
      <c r="J18">
        <f>J17/J$10</f>
      </c>
      <c r="K18">
        <f>K17/K$10</f>
      </c>
      <c r="L18">
        <f>L17/L$10</f>
      </c>
      <c r="M18">
        <f>M17/M$10</f>
      </c>
      <c r="N18">
        <f>N17/N$10</f>
      </c>
      <c r="O18">
        <f>O17/O$10</f>
      </c>
      <c r="P18">
        <f>P17/P$10</f>
      </c>
      <c r="Q18">
        <f>Q17/Q$10</f>
      </c>
      <c r="R18">
        <f>R17/R$10</f>
      </c>
      <c r="S18">
        <f>S17/S$10</f>
      </c>
      <c r="T18">
        <f>T17/T$10</f>
      </c>
      <c r="U18">
        <f>U17/U$10</f>
      </c>
      <c r="V18">
        <f>V17/V$10</f>
      </c>
      <c r="W18">
        <f>W17/W$10</f>
      </c>
      <c r="X18">
        <f>X17/X$10</f>
      </c>
      <c r="Y18">
        <f>Y17/Y$10</f>
      </c>
    </row>
    <row r="19" spans="1:25" x14ac:dyDescent="0.25">
      <c r="A19" t="s">
        <v>21</v>
      </c>
      <c r="B19">
        <v>7380</v>
      </c>
      <c r="C19">
        <v>6486</v>
      </c>
      <c r="D19">
        <v>6987</v>
      </c>
      <c r="E19">
        <v>8145</v>
      </c>
      <c r="F19">
        <v>7289</v>
      </c>
      <c r="G19">
        <v>8617</v>
      </c>
      <c r="H19">
        <v>8772</v>
      </c>
      <c r="I19">
        <v>11744</v>
      </c>
      <c r="J19">
        <v>9199</v>
      </c>
      <c r="K19">
        <v>10287</v>
      </c>
      <c r="L19">
        <v>10526</v>
      </c>
      <c r="M19">
        <v>12279</v>
      </c>
      <c r="N19">
        <v>10292</v>
      </c>
      <c r="O19">
        <v>10262</v>
      </c>
      <c r="P19">
        <v>10863</v>
      </c>
      <c r="Q19">
        <v>12925</v>
      </c>
      <c r="R19">
        <v>9452</v>
      </c>
      <c r="S19">
        <v>9950</v>
      </c>
      <c r="T19">
        <v>10826</v>
      </c>
      <c r="U19">
        <v>11768</v>
      </c>
      <c r="V19">
        <v>9711</v>
      </c>
      <c r="W19">
        <v>12310</v>
      </c>
      <c r="X19">
        <v>14598</v>
      </c>
      <c r="Y19">
        <v>13556</v>
      </c>
    </row>
    <row r="20" spans="1:25" x14ac:dyDescent="0.25">
      <c r="A20" t="s">
        <v>22</v>
      </c>
      <c r="B20">
        <f>B19/B$10</f>
      </c>
      <c r="C20">
        <f>C19/C$10</f>
      </c>
      <c r="D20">
        <f>D19/D$10</f>
      </c>
      <c r="E20">
        <f>E19/E$10</f>
      </c>
      <c r="F20">
        <f>F19/F$10</f>
      </c>
      <c r="G20">
        <f>G19/G$10</f>
      </c>
      <c r="H20">
        <f>H19/H$10</f>
      </c>
      <c r="I20">
        <f>I19/I$10</f>
      </c>
      <c r="J20">
        <f>J19/J$10</f>
      </c>
      <c r="K20">
        <f>K19/K$10</f>
      </c>
      <c r="L20">
        <f>L19/L$10</f>
      </c>
      <c r="M20">
        <f>M19/M$10</f>
      </c>
      <c r="N20">
        <f>N19/N$10</f>
      </c>
      <c r="O20">
        <f>O19/O$10</f>
      </c>
      <c r="P20">
        <f>P19/P$10</f>
      </c>
      <c r="Q20">
        <f>Q19/Q$10</f>
      </c>
      <c r="R20">
        <f>R19/R$10</f>
      </c>
      <c r="S20">
        <f>S19/S$10</f>
      </c>
      <c r="T20">
        <f>T19/T$10</f>
      </c>
      <c r="U20">
        <f>U19/U$10</f>
      </c>
      <c r="V20">
        <f>V19/V$10</f>
      </c>
      <c r="W20">
        <f>W19/W$10</f>
      </c>
      <c r="X20">
        <f>X19/X$10</f>
      </c>
      <c r="Y20">
        <f>Y19/Y$10</f>
      </c>
    </row>
    <row r="21" spans="1:1" x14ac:dyDescent="0.25">
      <c r="A21" t="s">
        <v>23</v>
      </c>
    </row>
    <row r="22" spans="1:25" x14ac:dyDescent="0.25">
      <c r="A22" t="s">
        <v>24</v>
      </c>
      <c r="B22">
        <v>14200</v>
      </c>
      <c r="C22">
        <v>13361</v>
      </c>
      <c r="D22">
        <v>13843</v>
      </c>
      <c r="E22">
        <v>15167</v>
      </c>
      <c r="F22">
        <v>14774</v>
      </c>
      <c r="G22">
        <v>16292</v>
      </c>
      <c r="H22">
        <v>16466</v>
      </c>
      <c r="I22">
        <v>20452</v>
      </c>
      <c r="J22">
        <v>18318</v>
      </c>
      <c r="K22">
        <v>20128</v>
      </c>
      <c r="L22">
        <v>20799</v>
      </c>
      <c r="M22">
        <v>22546</v>
      </c>
      <c r="N22">
        <v>21760</v>
      </c>
      <c r="O22">
        <v>20850</v>
      </c>
      <c r="P22">
        <v>22121</v>
      </c>
      <c r="Q22">
        <v>25038</v>
      </c>
      <c r="R22">
        <v>21355</v>
      </c>
      <c r="S22">
        <v>21810</v>
      </c>
      <c r="T22">
        <v>23273</v>
      </c>
      <c r="U22">
        <v>24884</v>
      </c>
      <c r="V22">
        <v>23267</v>
      </c>
      <c r="W22">
        <v>26118</v>
      </c>
      <c r="X22">
        <v>29749</v>
      </c>
      <c r="Y22">
        <v>32128</v>
      </c>
    </row>
    <row r="23" spans="1:25" x14ac:dyDescent="0.25">
      <c r="A23" t="s">
        <v>25</v>
      </c>
      <c r="B23">
        <f>B22/B$10</f>
      </c>
      <c r="C23">
        <f>C22/C$10</f>
      </c>
      <c r="D23">
        <f>D22/D$10</f>
      </c>
      <c r="E23">
        <f>E22/E$10</f>
      </c>
      <c r="F23">
        <f>F22/F$10</f>
      </c>
      <c r="G23">
        <f>G22/G$10</f>
      </c>
      <c r="H23">
        <f>H22/H$10</f>
      </c>
      <c r="I23">
        <f>I22/I$10</f>
      </c>
      <c r="J23">
        <f>J22/J$10</f>
      </c>
      <c r="K23">
        <f>K22/K$10</f>
      </c>
      <c r="L23">
        <f>L22/L$10</f>
      </c>
      <c r="M23">
        <f>M22/M$10</f>
      </c>
      <c r="N23">
        <f>N22/N$10</f>
      </c>
      <c r="O23">
        <f>O22/O$10</f>
      </c>
      <c r="P23">
        <f>P22/P$10</f>
      </c>
      <c r="Q23">
        <f>Q22/Q$10</f>
      </c>
      <c r="R23">
        <f>R22/R$10</f>
      </c>
      <c r="S23">
        <f>S22/S$10</f>
      </c>
      <c r="T23">
        <f>T22/T$10</f>
      </c>
      <c r="U23">
        <f>U22/U$10</f>
      </c>
      <c r="V23">
        <f>V22/V$10</f>
      </c>
      <c r="W23">
        <f>W22/W$10</f>
      </c>
      <c r="X23">
        <f>X22/X$10</f>
      </c>
      <c r="Y23">
        <f>Y22/Y$10</f>
      </c>
    </row>
    <row r="24" spans="1:25" x14ac:dyDescent="0.25">
      <c r="A24" t="s">
        <v>26</v>
      </c>
      <c r="F24">
        <f>F22/B22-1</f>
      </c>
      <c r="G24">
        <f>G22/C22-1</f>
      </c>
      <c r="H24">
        <f>H22/D22-1</f>
      </c>
      <c r="I24">
        <f>I22/E22-1</f>
      </c>
      <c r="J24">
        <f>J22/F22-1</f>
      </c>
      <c r="K24">
        <f>K22/G22-1</f>
      </c>
      <c r="L24">
        <f>L22/H22-1</f>
      </c>
      <c r="M24">
        <f>M22/I22-1</f>
      </c>
      <c r="N24">
        <f>N22/J22-1</f>
      </c>
      <c r="O24">
        <f>O22/K22-1</f>
      </c>
      <c r="P24">
        <f>P22/L22-1</f>
      </c>
      <c r="Q24">
        <f>Q22/M22-1</f>
      </c>
      <c r="R24">
        <f>R22/N22-1</f>
      </c>
      <c r="S24">
        <f>S22/O22-1</f>
      </c>
      <c r="T24">
        <f>T22/P22-1</f>
      </c>
      <c r="U24">
        <f>U22/Q22-1</f>
      </c>
      <c r="V24">
        <f>V22/R22-1</f>
      </c>
      <c r="W24">
        <f>W22/S22-1</f>
      </c>
      <c r="X24">
        <f>X22/T22-1</f>
      </c>
      <c r="Y24">
        <f>Y22/U22-1</f>
      </c>
    </row>
    <row r="25" spans="1:25" x14ac:dyDescent="0.25">
      <c r="A25" t="s">
        <v>27</v>
      </c>
      <c r="B25">
        <v>7977</v>
      </c>
      <c r="C25">
        <v>6383</v>
      </c>
      <c r="D25">
        <v>11213</v>
      </c>
      <c r="E25">
        <v>15651</v>
      </c>
      <c r="F25">
        <v>16437</v>
      </c>
      <c r="G25">
        <v>19361</v>
      </c>
      <c r="H25">
        <v>21031</v>
      </c>
      <c r="I25">
        <v>21885</v>
      </c>
      <c r="J25">
        <v>20094</v>
      </c>
      <c r="K25">
        <v>19453</v>
      </c>
      <c r="L25">
        <v>17135</v>
      </c>
      <c r="M25">
        <v>18160</v>
      </c>
      <c r="N25">
        <v>17415</v>
      </c>
      <c r="O25">
        <v>21838</v>
      </c>
      <c r="P25">
        <v>21343</v>
      </c>
      <c r="Q25">
        <v>23697</v>
      </c>
      <c r="R25">
        <v>25472</v>
      </c>
      <c r="S25">
        <v>27425</v>
      </c>
      <c r="T25">
        <v>28521</v>
      </c>
      <c r="U25">
        <v>30972</v>
      </c>
      <c r="V25">
        <v>30606</v>
      </c>
      <c r="W25">
        <v>31271</v>
      </c>
      <c r="X25">
        <v>31228</v>
      </c>
      <c r="Y25">
        <v>35934</v>
      </c>
    </row>
    <row r="26" spans="1:25" x14ac:dyDescent="0.25">
      <c r="A26" t="s">
        <v>28</v>
      </c>
      <c r="B26">
        <f>B25/B$10</f>
      </c>
      <c r="C26">
        <f>C25/C$10</f>
      </c>
      <c r="D26">
        <f>D25/D$10</f>
      </c>
      <c r="E26">
        <f>E25/E$10</f>
      </c>
      <c r="F26">
        <f>F25/F$10</f>
      </c>
      <c r="G26">
        <f>G25/G$10</f>
      </c>
      <c r="H26">
        <f>H25/H$10</f>
      </c>
      <c r="I26">
        <f>I25/I$10</f>
      </c>
      <c r="J26">
        <f>J25/J$10</f>
      </c>
      <c r="K26">
        <f>K25/K$10</f>
      </c>
      <c r="L26">
        <f>L25/L$10</f>
      </c>
      <c r="M26">
        <f>M25/M$10</f>
      </c>
      <c r="N26">
        <f>N25/N$10</f>
      </c>
      <c r="O26">
        <f>O25/O$10</f>
      </c>
      <c r="P26">
        <f>P25/P$10</f>
      </c>
      <c r="Q26">
        <f>Q25/Q$10</f>
      </c>
      <c r="R26">
        <f>R25/R$10</f>
      </c>
      <c r="S26">
        <f>S25/S$10</f>
      </c>
      <c r="T26">
        <f>T25/T$10</f>
      </c>
      <c r="U26">
        <f>U25/U$10</f>
      </c>
      <c r="V26">
        <f>V25/V$10</f>
      </c>
      <c r="W26">
        <f>W25/W$10</f>
      </c>
      <c r="X26">
        <f>X25/X$10</f>
      </c>
      <c r="Y26">
        <f>Y25/Y$10</f>
      </c>
    </row>
    <row r="27" spans="1:25" x14ac:dyDescent="0.25">
      <c r="A27" t="s">
        <v>29</v>
      </c>
      <c r="F27">
        <f>F25/B25-1</f>
      </c>
      <c r="G27">
        <f>G25/C25-1</f>
      </c>
      <c r="H27">
        <f>H25/D25-1</f>
      </c>
      <c r="I27">
        <f>I25/E25-1</f>
      </c>
      <c r="J27">
        <f>J25/F25-1</f>
      </c>
      <c r="K27">
        <f>K25/G25-1</f>
      </c>
      <c r="L27">
        <f>L25/H25-1</f>
      </c>
      <c r="M27">
        <f>M25/I25-1</f>
      </c>
      <c r="N27">
        <f>N25/J25-1</f>
      </c>
      <c r="O27">
        <f>O25/K25-1</f>
      </c>
      <c r="P27">
        <f>P25/L25-1</f>
      </c>
      <c r="Q27">
        <f>Q25/M25-1</f>
      </c>
      <c r="R27">
        <f>R25/N25-1</f>
      </c>
      <c r="S27">
        <f>S25/O25-1</f>
      </c>
      <c r="T27">
        <f>T25/P25-1</f>
      </c>
      <c r="U27">
        <f>U25/Q25-1</f>
      </c>
      <c r="V27">
        <f>V25/R25-1</f>
      </c>
      <c r="W27">
        <f>W25/S25-1</f>
      </c>
      <c r="X27">
        <f>X25/T25-1</f>
      </c>
      <c r="Y27">
        <f>Y25/U25-1</f>
      </c>
    </row>
    <row r="28" spans="1:25" x14ac:dyDescent="0.25">
      <c r="A28" t="s">
        <v>30</v>
      </c>
      <c r="B28">
        <v>-220</v>
      </c>
      <c r="C28">
        <v>1894</v>
      </c>
      <c r="D28">
        <v>2146</v>
      </c>
      <c r="E28">
        <v>3038</v>
      </c>
      <c r="F28">
        <v>4846</v>
      </c>
      <c r="G28">
        <v>2624</v>
      </c>
      <c r="H28">
        <v>2033</v>
      </c>
      <c r="I28">
        <v>2517</v>
      </c>
      <c r="J28">
        <v>-1160</v>
      </c>
      <c r="K28">
        <v>-439</v>
      </c>
      <c r="L28">
        <v>-902</v>
      </c>
      <c r="M28">
        <v>-1013</v>
      </c>
      <c r="N28">
        <v>790</v>
      </c>
      <c r="O28">
        <v>65</v>
      </c>
      <c r="P28">
        <v>-146</v>
      </c>
      <c r="Q28">
        <v>715</v>
      </c>
      <c r="R28">
        <v>2843</v>
      </c>
      <c r="S28">
        <v>126</v>
      </c>
      <c r="T28">
        <v>3185</v>
      </c>
      <c r="U28">
        <v>1271</v>
      </c>
      <c r="V28">
        <v>11183</v>
      </c>
      <c r="W28">
        <v>2662</v>
      </c>
      <c r="X28">
        <v>12759</v>
      </c>
      <c r="Y28">
        <v>3183</v>
      </c>
    </row>
    <row r="29" spans="1:25" x14ac:dyDescent="0.25">
      <c r="A29" t="s">
        <v>31</v>
      </c>
      <c r="B29">
        <v>7757</v>
      </c>
      <c r="C29">
        <v>8277</v>
      </c>
      <c r="D29">
        <v>13359</v>
      </c>
      <c r="E29">
        <v>18689</v>
      </c>
      <c r="F29">
        <v>21283</v>
      </c>
      <c r="G29">
        <v>21985</v>
      </c>
      <c r="H29">
        <v>23064</v>
      </c>
      <c r="I29">
        <v>24402</v>
      </c>
      <c r="J29">
        <v>18934</v>
      </c>
      <c r="K29">
        <v>19014</v>
      </c>
      <c r="L29">
        <v>16233</v>
      </c>
      <c r="M29">
        <v>17147</v>
      </c>
      <c r="N29">
        <v>18205</v>
      </c>
      <c r="O29">
        <v>21903</v>
      </c>
      <c r="P29">
        <v>21197</v>
      </c>
      <c r="Q29">
        <v>24412</v>
      </c>
      <c r="R29">
        <v>28315</v>
      </c>
      <c r="S29">
        <v>27551</v>
      </c>
      <c r="T29">
        <v>31706</v>
      </c>
      <c r="U29">
        <v>32243</v>
      </c>
      <c r="V29">
        <v>41789</v>
      </c>
      <c r="W29">
        <v>33933</v>
      </c>
      <c r="X29">
        <v>43987</v>
      </c>
      <c r="Y29">
        <v>39117</v>
      </c>
    </row>
    <row r="30" spans="1:25" x14ac:dyDescent="0.25">
      <c r="A30" t="s">
        <v>32</v>
      </c>
      <c r="B30">
        <v>921</v>
      </c>
      <c r="C30">
        <v>1318</v>
      </c>
      <c r="D30">
        <v>2112</v>
      </c>
      <c r="E30">
        <v>3462</v>
      </c>
      <c r="F30">
        <v>3353</v>
      </c>
      <c r="G30">
        <v>3460</v>
      </c>
      <c r="H30">
        <v>4128</v>
      </c>
      <c r="I30">
        <v>3760</v>
      </c>
      <c r="J30">
        <v>2498</v>
      </c>
      <c r="K30">
        <v>3012</v>
      </c>
      <c r="L30">
        <v>2323</v>
      </c>
      <c r="M30">
        <v>3523</v>
      </c>
      <c r="N30">
        <v>3154</v>
      </c>
      <c r="O30">
        <v>3535</v>
      </c>
      <c r="P30">
        <v>1508</v>
      </c>
      <c r="Q30">
        <v>3725</v>
      </c>
      <c r="R30">
        <v>4653</v>
      </c>
      <c r="S30">
        <v>3932</v>
      </c>
      <c r="T30">
        <v>5405</v>
      </c>
      <c r="U30">
        <v>5707</v>
      </c>
      <c r="V30">
        <v>7249</v>
      </c>
      <c r="W30">
        <v>5737</v>
      </c>
      <c r="X30">
        <v>9008</v>
      </c>
      <c r="Y30">
        <v>4662</v>
      </c>
    </row>
    <row r="31" spans="1:25" x14ac:dyDescent="0.25">
      <c r="A31" t="s">
        <v>33</v>
      </c>
      <c r="B31">
        <v>6836</v>
      </c>
      <c r="C31">
        <v>6959</v>
      </c>
      <c r="D31">
        <v>11247</v>
      </c>
      <c r="E31">
        <v>15227</v>
      </c>
      <c r="F31">
        <v>17930</v>
      </c>
      <c r="G31">
        <v>18525</v>
      </c>
      <c r="H31">
        <v>18936</v>
      </c>
      <c r="I31">
        <v>20642</v>
      </c>
      <c r="J31">
        <v>16436</v>
      </c>
      <c r="K31">
        <v>16002</v>
      </c>
      <c r="L31">
        <v>13910</v>
      </c>
      <c r="M31">
        <v>13624</v>
      </c>
      <c r="N31">
        <v>15051</v>
      </c>
      <c r="O31">
        <v>18368</v>
      </c>
      <c r="P31">
        <v>19689</v>
      </c>
      <c r="Q31">
        <v>20687</v>
      </c>
      <c r="R31">
        <v>23662</v>
      </c>
      <c r="S31">
        <v>23619</v>
      </c>
      <c r="T31">
        <v>26301</v>
      </c>
      <c r="U31">
        <v>26536</v>
      </c>
      <c r="V31">
        <v>34540</v>
      </c>
      <c r="W31">
        <v>28196</v>
      </c>
      <c r="X31">
        <v>34979</v>
      </c>
      <c r="Y31">
        <v>34455</v>
      </c>
    </row>
    <row r="32" spans="1:25" x14ac:dyDescent="0.25">
      <c r="A32" t="s">
        <v>34</v>
      </c>
      <c r="B32">
        <f>B31/B$10</f>
      </c>
      <c r="C32">
        <f>C31/C$10</f>
      </c>
      <c r="D32">
        <f>D31/D$10</f>
      </c>
      <c r="E32">
        <f>E31/E$10</f>
      </c>
      <c r="F32">
        <f>F31/F$10</f>
      </c>
      <c r="G32">
        <f>G31/G$10</f>
      </c>
      <c r="H32">
        <f>H31/H$10</f>
      </c>
      <c r="I32">
        <f>I31/I$10</f>
      </c>
      <c r="J32">
        <f>J31/J$10</f>
      </c>
      <c r="K32">
        <f>K31/K$10</f>
      </c>
      <c r="L32">
        <f>L31/L$10</f>
      </c>
      <c r="M32">
        <f>M31/M$10</f>
      </c>
      <c r="N32">
        <f>N31/N$10</f>
      </c>
      <c r="O32">
        <f>O31/O$10</f>
      </c>
      <c r="P32">
        <f>P31/P$10</f>
      </c>
      <c r="Q32">
        <f>Q31/Q$10</f>
      </c>
      <c r="R32">
        <f>R31/R$10</f>
      </c>
      <c r="S32">
        <f>S31/S$10</f>
      </c>
      <c r="T32">
        <f>T31/T$10</f>
      </c>
      <c r="U32">
        <f>U31/U$10</f>
      </c>
      <c r="V32">
        <f>V31/V$10</f>
      </c>
      <c r="W32">
        <f>W31/W$10</f>
      </c>
      <c r="X32">
        <f>X31/X$10</f>
      </c>
      <c r="Y32">
        <f>Y31/Y$10</f>
      </c>
    </row>
    <row r="33" spans="1:25" x14ac:dyDescent="0.25">
      <c r="A33" t="s">
        <v>35</v>
      </c>
      <c r="F33">
        <f>F31/B31-1</f>
      </c>
      <c r="G33">
        <f>G31/C31-1</f>
      </c>
      <c r="H33">
        <f>H31/D31-1</f>
      </c>
      <c r="I33">
        <f>I31/E31-1</f>
      </c>
      <c r="J33">
        <f>J31/F31-1</f>
      </c>
      <c r="K33">
        <f>K31/G31-1</f>
      </c>
      <c r="L33">
        <f>L31/H31-1</f>
      </c>
      <c r="M33">
        <f>M31/I31-1</f>
      </c>
      <c r="N33">
        <f>N31/J31-1</f>
      </c>
      <c r="O33">
        <f>O31/K31-1</f>
      </c>
      <c r="P33">
        <f>P31/L31-1</f>
      </c>
      <c r="Q33">
        <f>Q31/M31-1</f>
      </c>
      <c r="R33">
        <f>R31/N31-1</f>
      </c>
      <c r="S33">
        <f>S31/O31-1</f>
      </c>
      <c r="T33">
        <f>T31/P31-1</f>
      </c>
      <c r="U33">
        <f>U31/Q31-1</f>
      </c>
      <c r="V33">
        <f>V31/R31-1</f>
      </c>
      <c r="W33">
        <f>W31/S31-1</f>
      </c>
      <c r="X33">
        <f>X31/T31-1</f>
      </c>
      <c r="Y33">
        <f>Y31/U31-1</f>
      </c>
    </row>
    <row r="34" spans="1:25" x14ac:dyDescent="0.25">
      <c r="A34" t="s">
        <v>36</v>
      </c>
      <c r="B34">
        <v>9.96</v>
      </c>
      <c r="C34">
        <v>10.21</v>
      </c>
      <c r="D34">
        <v>16.55</v>
      </c>
      <c r="E34">
        <v>22.54</v>
      </c>
      <c r="F34">
        <v>26.63</v>
      </c>
      <c r="G34">
        <v>1.38</v>
      </c>
      <c r="H34">
        <v>1.42</v>
      </c>
      <c r="I34">
        <v>1.56</v>
      </c>
      <c r="J34">
        <v>1.24</v>
      </c>
      <c r="K34">
        <v>1.22</v>
      </c>
      <c r="L34">
        <v>1.07</v>
      </c>
      <c r="M34">
        <v>1.06</v>
      </c>
      <c r="N34">
        <v>1.18</v>
      </c>
      <c r="O34">
        <v>1.45</v>
      </c>
      <c r="P34">
        <v>1.56</v>
      </c>
      <c r="Q34">
        <v>1.66</v>
      </c>
      <c r="R34">
        <v>1.91</v>
      </c>
      <c r="S34">
        <v>1.91</v>
      </c>
      <c r="T34">
        <v>2.14</v>
      </c>
      <c r="U34">
        <v>2.17</v>
      </c>
      <c r="V34">
        <v>2.84</v>
      </c>
      <c r="W34">
        <v>2.33</v>
      </c>
      <c r="X34">
        <v>2.89</v>
      </c>
      <c r="Y34">
        <v>2.85</v>
      </c>
    </row>
    <row r="35" spans="1:25" x14ac:dyDescent="0.25">
      <c r="A35" t="s">
        <v>37</v>
      </c>
      <c r="B35">
        <v>9.87</v>
      </c>
      <c r="C35">
        <v>10.13</v>
      </c>
      <c r="D35">
        <v>16.4</v>
      </c>
      <c r="E35">
        <v>22.3</v>
      </c>
      <c r="F35">
        <v>26.29</v>
      </c>
      <c r="G35">
        <v>1.36</v>
      </c>
      <c r="H35">
        <v>1.4</v>
      </c>
      <c r="I35">
        <v>1.53</v>
      </c>
      <c r="J35">
        <v>1.23</v>
      </c>
      <c r="K35">
        <v>1.21</v>
      </c>
      <c r="L35">
        <v>1.06</v>
      </c>
      <c r="M35">
        <v>1.05</v>
      </c>
      <c r="N35">
        <v>1.17</v>
      </c>
      <c r="O35">
        <v>1.44</v>
      </c>
      <c r="P35">
        <v>1.55</v>
      </c>
      <c r="Q35">
        <v>1.64</v>
      </c>
      <c r="R35">
        <v>1.89</v>
      </c>
      <c r="S35">
        <v>1.89</v>
      </c>
      <c r="T35">
        <v>2.12</v>
      </c>
      <c r="U35">
        <v>2.15</v>
      </c>
      <c r="V35">
        <v>2.81</v>
      </c>
      <c r="W35">
        <v>2.31</v>
      </c>
      <c r="X35">
        <v>2.87</v>
      </c>
      <c r="Y35">
        <v>2.82</v>
      </c>
    </row>
    <row r="36" spans="1:25" x14ac:dyDescent="0.25">
      <c r="A36" t="s">
        <v>38</v>
      </c>
      <c r="B36">
        <v>686465</v>
      </c>
      <c r="C36">
        <v>681768</v>
      </c>
      <c r="D36">
        <v>679449</v>
      </c>
      <c r="E36">
        <v>675582</v>
      </c>
      <c r="F36">
        <v>673220</v>
      </c>
      <c r="G36">
        <v>13379</v>
      </c>
      <c r="H36">
        <v>13315</v>
      </c>
      <c r="I36">
        <v>13253</v>
      </c>
      <c r="J36">
        <v>13203</v>
      </c>
      <c r="K36">
        <v>13133</v>
      </c>
      <c r="L36">
        <v>13018</v>
      </c>
      <c r="M36">
        <v>12897</v>
      </c>
      <c r="N36">
        <v>12781</v>
      </c>
      <c r="O36">
        <v>12668</v>
      </c>
      <c r="P36">
        <v>12581</v>
      </c>
      <c r="Q36">
        <v>12488</v>
      </c>
      <c r="R36">
        <v>12415</v>
      </c>
      <c r="S36">
        <v>12343</v>
      </c>
      <c r="T36">
        <v>12290</v>
      </c>
      <c r="U36">
        <v>12228</v>
      </c>
      <c r="V36">
        <v>12183</v>
      </c>
      <c r="W36">
        <v>12122</v>
      </c>
      <c r="X36">
        <v>12086</v>
      </c>
      <c r="Y36">
        <v>12073</v>
      </c>
    </row>
    <row r="37" spans="1:25" x14ac:dyDescent="0.25">
      <c r="A37" t="s">
        <v>39</v>
      </c>
      <c r="B37">
        <v>692267</v>
      </c>
      <c r="C37">
        <v>687024</v>
      </c>
      <c r="D37">
        <v>685851</v>
      </c>
      <c r="E37">
        <v>682969</v>
      </c>
      <c r="F37">
        <v>682071</v>
      </c>
      <c r="G37">
        <v>13592</v>
      </c>
      <c r="H37">
        <v>13530</v>
      </c>
      <c r="I37">
        <v>13450</v>
      </c>
      <c r="J37">
        <v>13351</v>
      </c>
      <c r="K37">
        <v>13239</v>
      </c>
      <c r="L37">
        <v>13097</v>
      </c>
      <c r="M37">
        <v>12947</v>
      </c>
      <c r="N37">
        <v>12823</v>
      </c>
      <c r="O37">
        <v>12764</v>
      </c>
      <c r="P37">
        <v>12696</v>
      </c>
      <c r="Q37">
        <v>12602</v>
      </c>
      <c r="R37">
        <v>12527</v>
      </c>
      <c r="S37">
        <v>12495</v>
      </c>
      <c r="T37">
        <v>12419</v>
      </c>
      <c r="U37">
        <v>12348</v>
      </c>
      <c r="V37">
        <v>12291</v>
      </c>
      <c r="W37">
        <v>12198</v>
      </c>
      <c r="X37">
        <v>12203</v>
      </c>
      <c r="Y37">
        <v>12228</v>
      </c>
    </row>
    <row r="38" spans="1:25" x14ac:dyDescent="0.25">
      <c r="A38" t="s">
        <v>40</v>
      </c>
      <c r="B38">
        <v>58.1</v>
      </c>
      <c r="C38">
        <v>70.9</v>
      </c>
      <c r="D38">
        <v>73.28</v>
      </c>
      <c r="E38">
        <v>87.63</v>
      </c>
      <c r="F38">
        <v>103.13</v>
      </c>
      <c r="G38">
        <v>122.09</v>
      </c>
      <c r="H38">
        <v>133.68</v>
      </c>
      <c r="I38">
        <v>144.85</v>
      </c>
      <c r="J38">
        <v>139.07</v>
      </c>
      <c r="K38">
        <v>108.96</v>
      </c>
      <c r="L38">
        <v>95.65</v>
      </c>
      <c r="M38">
        <v>88.23</v>
      </c>
      <c r="N38">
        <v>103.73</v>
      </c>
      <c r="O38">
        <v>119.7</v>
      </c>
      <c r="P38">
        <v>130.86</v>
      </c>
      <c r="Q38">
        <v>139.69</v>
      </c>
      <c r="R38">
        <v>150.93</v>
      </c>
      <c r="S38">
        <v>182.15</v>
      </c>
      <c r="T38">
        <v>165.85</v>
      </c>
      <c r="U38">
        <v>189.3</v>
      </c>
      <c r="V38">
        <v>154.64</v>
      </c>
      <c r="W38">
        <v>176.23</v>
      </c>
      <c r="X38">
        <v>243.1</v>
      </c>
      <c r="Y38">
        <v>313</v>
      </c>
    </row>
    <row r="39" spans="1:25" x14ac:dyDescent="0.25">
      <c r="A39" t="s">
        <v>41</v>
      </c>
      <c r="B39">
        <f>B38*B37</f>
      </c>
      <c r="C39">
        <f>C38*C37</f>
      </c>
      <c r="D39">
        <f>D38*D37</f>
      </c>
      <c r="E39">
        <f>E38*E37</f>
      </c>
      <c r="F39">
        <f>F38*F37</f>
      </c>
      <c r="G39">
        <f>G38*G37</f>
      </c>
      <c r="H39">
        <f>H38*H37</f>
      </c>
      <c r="I39">
        <f>I38*I37</f>
      </c>
      <c r="J39">
        <f>J38*J37</f>
      </c>
      <c r="K39">
        <f>K38*K37</f>
      </c>
      <c r="L39">
        <f>L38*L37</f>
      </c>
      <c r="M39">
        <f>M38*M37</f>
      </c>
      <c r="N39">
        <f>N38*N37</f>
      </c>
      <c r="O39">
        <f>O38*O37</f>
      </c>
      <c r="P39">
        <f>P38*P37</f>
      </c>
      <c r="Q39">
        <f>Q38*Q37</f>
      </c>
      <c r="R39">
        <f>R38*R37</f>
      </c>
      <c r="S39">
        <f>S38*S37</f>
      </c>
      <c r="T39">
        <f>T38*T37</f>
      </c>
      <c r="U39">
        <f>U38*U37</f>
      </c>
      <c r="V39">
        <f>V38*V37</f>
      </c>
      <c r="W39">
        <f>W38*W37</f>
      </c>
      <c r="X39">
        <f>X38*X37</f>
      </c>
      <c r="Y39">
        <f>Y38*Y37</f>
      </c>
    </row>
    <row r="40" spans="1:25" x14ac:dyDescent="0.25">
      <c r="A40" t="s">
        <v>42</v>
      </c>
      <c r="E40">
        <f>E38/SUM(B35:E35)</f>
      </c>
      <c r="F40">
        <f>F38/SUM(C35:F35)</f>
      </c>
      <c r="G40">
        <f>G38/SUM(D35:G35)</f>
      </c>
      <c r="H40">
        <f>H38/SUM(E35:H35)</f>
      </c>
      <c r="I40">
        <f>I38/SUM(F35:I35)</f>
      </c>
      <c r="J40">
        <f>J38/SUM(G35:J35)</f>
      </c>
      <c r="K40">
        <f>K38/SUM(H35:K35)</f>
      </c>
      <c r="L40">
        <f>L38/SUM(I35:L35)</f>
      </c>
      <c r="M40">
        <f>M38/SUM(J35:M35)</f>
      </c>
      <c r="N40">
        <f>N38/SUM(K35:N35)</f>
      </c>
      <c r="O40">
        <f>O38/SUM(L35:O35)</f>
      </c>
      <c r="P40">
        <f>P38/SUM(M35:P35)</f>
      </c>
      <c r="Q40">
        <f>Q38/SUM(N35:Q35)</f>
      </c>
      <c r="R40">
        <f>R38/SUM(O35:R35)</f>
      </c>
      <c r="S40">
        <f>S38/SUM(P35:S35)</f>
      </c>
      <c r="T40">
        <f>T38/SUM(Q35:T35)</f>
      </c>
      <c r="U40">
        <f>U38/SUM(R35:U35)</f>
      </c>
      <c r="V40">
        <f>V38/SUM(S35:V35)</f>
      </c>
      <c r="W40">
        <f>W38/SUM(T35:W35)</f>
      </c>
      <c r="X40">
        <f>X38/SUM(U35:X35)</f>
      </c>
      <c r="Y40">
        <f>Y38/SUM(V35:Y35)</f>
      </c>
    </row>
    <row r="41" spans="1:25" x14ac:dyDescent="0.25">
      <c r="A41" t="s">
        <v>43</v>
      </c>
      <c r="H41">
        <f>AVERAGE(E40:H40)</f>
      </c>
      <c r="I41">
        <f>AVERAGE(F40:I40)</f>
      </c>
      <c r="J41">
        <f>AVERAGE(G40:J40)</f>
      </c>
      <c r="K41">
        <f>AVERAGE(H40:K40)</f>
      </c>
      <c r="L41">
        <f>AVERAGE(I40:L40)</f>
      </c>
      <c r="M41">
        <f>AVERAGE(J40:M40)</f>
      </c>
      <c r="N41">
        <f>AVERAGE(K40:N40)</f>
      </c>
      <c r="O41">
        <f>AVERAGE(L40:O40)</f>
      </c>
      <c r="P41">
        <f>AVERAGE(M40:P40)</f>
      </c>
      <c r="Q41">
        <f>AVERAGE(N40:Q40)</f>
      </c>
      <c r="R41">
        <f>AVERAGE(O40:R40)</f>
      </c>
      <c r="S41">
        <f>AVERAGE(P40:S40)</f>
      </c>
      <c r="T41">
        <f>AVERAGE(Q40:T40)</f>
      </c>
      <c r="U41">
        <f>AVERAGE(R40:U40)</f>
      </c>
      <c r="V41">
        <f>AVERAGE(S40:V40)</f>
      </c>
      <c r="W41">
        <f>AVERAGE(T40:W40)</f>
      </c>
      <c r="X41">
        <f>AVERAGE(U40:X40)</f>
      </c>
      <c r="Y41">
        <f>AVERAGE(V40:Y40)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2026-02-22T21:28:17Z</dcterms:created>
  <dcterms:modified xsi:type="dcterms:W3CDTF">2026-02-22T21:28:17Z</dcterms:modified>
</cp:coreProperties>
</file>