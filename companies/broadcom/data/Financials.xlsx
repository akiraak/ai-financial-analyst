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O業績" state="visible" r:id="rId4"/>
  </sheets>
  <calcPr calcId="171027"/>
</workbook>
</file>

<file path=xl/sharedStrings.xml><?xml version="1.0" encoding="utf-8"?>
<sst xmlns="http://schemas.openxmlformats.org/spreadsheetml/2006/main" count="53" uniqueCount="20">
  <si>
    <t>期間</t>
  </si>
  <si>
    <t>Q1</t>
  </si>
  <si>
    <t>Q2</t>
  </si>
  <si>
    <t>Q3</t>
  </si>
  <si>
    <t>Q4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</si>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</sst>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6" x14ac:dyDescent="0.25">
      <c r="A1" s="1"/>
      <c r="B1" s="1">
        <v>2020</v>
      </c>
      <c r="C1" s="1"/>
      <c r="D1" s="1"/>
      <c r="E1" s="1"/>
      <c r="F1" s="1">
        <v>2021</v>
      </c>
      <c r="G1" s="1"/>
      <c r="H1" s="1"/>
      <c r="I1" s="1"/>
      <c r="J1" s="1">
        <v>2022</v>
      </c>
      <c r="K1" s="1"/>
      <c r="L1" s="1"/>
      <c r="M1" s="1"/>
      <c r="N1" s="1">
        <v>2023</v>
      </c>
      <c r="O1" s="1"/>
      <c r="P1" s="1"/>
      <c r="Q1" s="1"/>
      <c r="R1" s="1">
        <v>2024</v>
      </c>
      <c r="S1" s="1"/>
      <c r="T1" s="1"/>
      <c r="U1" s="1"/>
      <c r="V1">
        <v>2025</v>
      </c>
      <c r="Z1">
        <v>2026</v>
      </c>
    </row>
    <row r="2" ht="20" customHeight="1" spans="1:2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2</v>
      </c>
      <c r="X2" t="s">
        <v>3</v>
      </c>
      <c r="Y2" t="s">
        <v>4</v>
      </c>
      <c r="Z2" t="s">
        <v>1</v>
      </c>
      <c r="AA2" t="s">
        <v>2</v>
      </c>
      <c r="AB2" t="s">
        <v>3</v>
      </c>
      <c r="AC2" t="s">
        <v>4</v>
      </c>
    </row>
    <row r="3" spans="1:26" x14ac:dyDescent="0.25">
      <c r="A3" s="3" t="s">
        <v>5</v>
      </c>
      <c r="B3" s="4">
        <v>5858</v>
      </c>
      <c r="C3" s="4">
        <v>5742</v>
      </c>
      <c r="D3" s="4">
        <v>5821</v>
      </c>
      <c r="E3" s="4">
        <v>6467</v>
      </c>
      <c r="F3" s="4">
        <v>6655</v>
      </c>
      <c r="G3" s="4">
        <v>6610</v>
      </c>
      <c r="H3" s="4">
        <v>6778</v>
      </c>
      <c r="I3" s="4">
        <v>7407</v>
      </c>
      <c r="J3" s="4">
        <v>7706</v>
      </c>
      <c r="K3" s="4">
        <v>8103</v>
      </c>
      <c r="L3" s="4">
        <v>8464</v>
      </c>
      <c r="M3" s="4">
        <v>8930</v>
      </c>
      <c r="N3" s="4">
        <v>8915</v>
      </c>
      <c r="O3" s="4">
        <v>8733</v>
      </c>
      <c r="P3" s="4">
        <v>8876</v>
      </c>
      <c r="Q3" s="4">
        <v>9295</v>
      </c>
      <c r="R3" s="4">
        <v>11961</v>
      </c>
      <c r="S3" s="4">
        <v>12487</v>
      </c>
      <c r="T3" s="4">
        <v>13072</v>
      </c>
      <c r="U3" s="4">
        <v>14054</v>
      </c>
      <c r="V3">
        <v>14916</v>
      </c>
      <c r="W3">
        <v>15004</v>
      </c>
      <c r="X3">
        <v>15952</v>
      </c>
      <c r="Y3">
        <v>18015</v>
      </c>
      <c r="Z3">
        <v>19311</v>
      </c>
    </row>
    <row r="4" spans="1:29" x14ac:dyDescent="0.25">
      <c r="A4" s="5" t="s">
        <v>6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  <c r="Z4">
        <f>Z3/Y3</f>
      </c>
      <c r="AA4">
        <f>AA3/Z3</f>
      </c>
      <c r="AB4">
        <f>AB3/AA3</f>
      </c>
      <c r="AC4">
        <f>AC3/AB3</f>
      </c>
    </row>
    <row r="5" spans="1:29" x14ac:dyDescent="0.25">
      <c r="A5" s="7" t="s">
        <v>7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  <c r="Z5">
        <f>V3/Z3</f>
      </c>
      <c r="AA5">
        <f>W3/AA3</f>
      </c>
      <c r="AB5">
        <f>X3/AB3</f>
      </c>
      <c r="AC5">
        <f>Y3/AC3</f>
      </c>
    </row>
    <row r="6" spans="1:26" x14ac:dyDescent="0.25">
      <c r="A6" s="9" t="s">
        <v>8</v>
      </c>
      <c r="B6" s="10">
        <v>3264</v>
      </c>
      <c r="C6" s="10">
        <v>3189</v>
      </c>
      <c r="D6" s="10">
        <v>3316</v>
      </c>
      <c r="E6" s="10">
        <v>3747</v>
      </c>
      <c r="F6" s="10">
        <v>3952</v>
      </c>
      <c r="G6" s="10">
        <v>4057</v>
      </c>
      <c r="H6" s="10">
        <v>4197</v>
      </c>
      <c r="I6" s="10">
        <v>4638</v>
      </c>
      <c r="J6" s="10">
        <v>5049</v>
      </c>
      <c r="K6" s="10">
        <v>5439</v>
      </c>
      <c r="L6" s="10">
        <v>5681</v>
      </c>
      <c r="M6" s="10">
        <v>5926</v>
      </c>
      <c r="N6" s="10">
        <v>6004</v>
      </c>
      <c r="O6" s="10">
        <v>6115</v>
      </c>
      <c r="P6" s="10">
        <v>6164</v>
      </c>
      <c r="Q6" s="10">
        <v>6407</v>
      </c>
      <c r="R6" s="10">
        <v>7375</v>
      </c>
      <c r="S6" s="10">
        <v>7776</v>
      </c>
      <c r="T6" s="10">
        <v>8356</v>
      </c>
      <c r="U6" s="10">
        <v>9002</v>
      </c>
      <c r="V6">
        <v>10145</v>
      </c>
      <c r="W6">
        <v>10197</v>
      </c>
      <c r="X6">
        <v>10703</v>
      </c>
      <c r="Y6">
        <v>12249</v>
      </c>
      <c r="Z6">
        <v>13157</v>
      </c>
    </row>
    <row r="7" spans="1:26" x14ac:dyDescent="0.25">
      <c r="A7" s="11" t="s">
        <v>9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  <c r="W7">
        <f>W6/W$3</f>
      </c>
      <c r="X7">
        <f>X6/X$3</f>
      </c>
      <c r="Y7">
        <f>Y6/Y$3</f>
      </c>
      <c r="Z7">
        <f>Z6/Z$3</f>
      </c>
    </row>
    <row r="8" spans="1:29" x14ac:dyDescent="0.25">
      <c r="A8" s="13" t="s">
        <v>7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  <c r="Z8">
        <f>Z6/V6</f>
      </c>
      <c r="AA8">
        <f>AA6/W6</f>
      </c>
      <c r="AB8">
        <f>AB6/X6</f>
      </c>
      <c r="AC8">
        <f>AC6/Y6</f>
      </c>
    </row>
    <row r="9" spans="1:26" x14ac:dyDescent="0.25">
      <c r="A9" s="15" t="s">
        <v>10</v>
      </c>
      <c r="B9" s="16">
        <v>1289</v>
      </c>
      <c r="C9" s="16">
        <v>1269</v>
      </c>
      <c r="D9" s="16">
        <v>1228</v>
      </c>
      <c r="E9" s="16">
        <v>1182</v>
      </c>
      <c r="F9" s="16">
        <v>1211</v>
      </c>
      <c r="G9" s="16">
        <v>1238</v>
      </c>
      <c r="H9" s="16">
        <v>1205</v>
      </c>
      <c r="I9" s="16">
        <v>1200</v>
      </c>
      <c r="J9" s="16">
        <v>1206</v>
      </c>
      <c r="K9" s="16">
        <v>1261</v>
      </c>
      <c r="L9" s="16">
        <v>1255</v>
      </c>
      <c r="M9" s="16">
        <v>1197</v>
      </c>
      <c r="N9" s="16">
        <v>1195</v>
      </c>
      <c r="O9" s="16">
        <v>1312</v>
      </c>
      <c r="P9" s="16">
        <v>1358</v>
      </c>
      <c r="Q9" s="16">
        <v>1388</v>
      </c>
      <c r="R9" s="16">
        <v>2308</v>
      </c>
      <c r="S9" s="16">
        <v>2415</v>
      </c>
      <c r="T9" s="16">
        <v>2353</v>
      </c>
      <c r="U9" s="16">
        <v>2234</v>
      </c>
      <c r="V9">
        <v>2253</v>
      </c>
      <c r="W9">
        <v>2693</v>
      </c>
      <c r="X9">
        <v>3050</v>
      </c>
      <c r="Y9">
        <v>2981</v>
      </c>
      <c r="Z9">
        <v>2965</v>
      </c>
    </row>
    <row r="10" spans="1:29" x14ac:dyDescent="0.25">
      <c r="A10" s="17" t="s">
        <v>9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  <c r="Z10">
        <f>Z9/Z$3</f>
      </c>
      <c r="AA10">
        <f>AA9/AA$3</f>
      </c>
      <c r="AB10">
        <f>AB9/AB$3</f>
      </c>
      <c r="AC10">
        <f>AC9/AC$3</f>
      </c>
    </row>
    <row r="11" spans="1:26" x14ac:dyDescent="0.25">
      <c r="A11" s="15" t="s">
        <v>11</v>
      </c>
      <c r="B11" s="16">
        <v>601</v>
      </c>
      <c r="C11" s="16">
        <v>501</v>
      </c>
      <c r="D11" s="16">
        <v>428</v>
      </c>
      <c r="E11" s="16">
        <v>405</v>
      </c>
      <c r="F11" s="16">
        <v>339</v>
      </c>
      <c r="G11" s="16">
        <v>325</v>
      </c>
      <c r="H11" s="16">
        <v>346</v>
      </c>
      <c r="I11" s="16">
        <v>337</v>
      </c>
      <c r="J11" s="16">
        <v>321</v>
      </c>
      <c r="K11" s="16">
        <v>368</v>
      </c>
      <c r="L11" s="16">
        <v>323</v>
      </c>
      <c r="M11" s="16">
        <v>370</v>
      </c>
      <c r="N11" s="16">
        <v>348</v>
      </c>
      <c r="O11" s="16">
        <v>438</v>
      </c>
      <c r="P11" s="16">
        <v>388</v>
      </c>
      <c r="Q11" s="16">
        <v>418</v>
      </c>
      <c r="R11" s="16">
        <v>1572</v>
      </c>
      <c r="S11" s="16">
        <v>1277</v>
      </c>
      <c r="T11" s="16">
        <v>1100</v>
      </c>
      <c r="U11" s="16">
        <v>1010</v>
      </c>
      <c r="V11">
        <v>949</v>
      </c>
      <c r="W11">
        <v>1083</v>
      </c>
      <c r="X11">
        <v>1072</v>
      </c>
      <c r="Y11">
        <v>1107</v>
      </c>
      <c r="Z11">
        <v>1019</v>
      </c>
    </row>
    <row r="12" spans="1:29" x14ac:dyDescent="0.25">
      <c r="A12" s="17" t="s">
        <v>9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  <c r="Z12">
        <f>Z11/Z$3</f>
      </c>
      <c r="AA12">
        <f>AA11/AA$3</f>
      </c>
      <c r="AB12">
        <f>AB11/AB$3</f>
      </c>
      <c r="AC12">
        <f>AC11/AC$3</f>
      </c>
    </row>
    <row r="13" spans="1:26" x14ac:dyDescent="0.25">
      <c r="A13" s="19" t="s">
        <v>12</v>
      </c>
      <c r="B13" s="20">
        <v>1890</v>
      </c>
      <c r="C13" s="20">
        <v>1770</v>
      </c>
      <c r="D13" s="20">
        <v>1656</v>
      </c>
      <c r="E13" s="20">
        <v>1587</v>
      </c>
      <c r="F13" s="20">
        <v>1550</v>
      </c>
      <c r="G13" s="20">
        <v>1563</v>
      </c>
      <c r="H13" s="20">
        <v>1551</v>
      </c>
      <c r="I13" s="20">
        <v>1537</v>
      </c>
      <c r="J13" s="20">
        <v>1527</v>
      </c>
      <c r="K13" s="20">
        <v>1629</v>
      </c>
      <c r="L13" s="20">
        <v>1578</v>
      </c>
      <c r="M13" s="20">
        <v>1567</v>
      </c>
      <c r="N13" s="20">
        <v>1543</v>
      </c>
      <c r="O13" s="20">
        <v>1750</v>
      </c>
      <c r="P13" s="20">
        <v>1746</v>
      </c>
      <c r="Q13" s="20">
        <v>1806</v>
      </c>
      <c r="R13" s="20">
        <v>3880</v>
      </c>
      <c r="S13" s="20">
        <v>3692</v>
      </c>
      <c r="T13" s="20">
        <v>3453</v>
      </c>
      <c r="U13" s="20">
        <v>3244</v>
      </c>
      <c r="V13">
        <v>3202</v>
      </c>
      <c r="W13">
        <v>3776</v>
      </c>
      <c r="X13">
        <v>4122</v>
      </c>
      <c r="Y13">
        <v>4088</v>
      </c>
      <c r="Z13">
        <v>3984</v>
      </c>
    </row>
    <row r="14" spans="1:29" x14ac:dyDescent="0.25">
      <c r="A14" s="21" t="s">
        <v>9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  <c r="Z14">
        <f>Z13/Z$3</f>
      </c>
      <c r="AA14">
        <f>AA13/AA$3</f>
      </c>
      <c r="AB14">
        <f>AB13/AB$3</f>
      </c>
      <c r="AC14">
        <f>AC13/AC$3</f>
      </c>
    </row>
    <row r="15" spans="1:29" x14ac:dyDescent="0.25">
      <c r="A15" s="17" t="s">
        <v>7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  <c r="Z15">
        <f>Z13/V13</f>
      </c>
      <c r="AA15">
        <f>AA13/W13</f>
      </c>
      <c r="AB15">
        <f>AB13/X13</f>
      </c>
      <c r="AC15">
        <f>AC13/Y13</f>
      </c>
    </row>
    <row r="16" spans="1:26" x14ac:dyDescent="0.25">
      <c r="A16" s="9" t="s">
        <v>13</v>
      </c>
      <c r="B16" s="10">
        <v>714</v>
      </c>
      <c r="C16" s="10">
        <v>766</v>
      </c>
      <c r="D16" s="10">
        <v>1008</v>
      </c>
      <c r="E16" s="10">
        <v>1526</v>
      </c>
      <c r="F16" s="10">
        <v>1837</v>
      </c>
      <c r="G16" s="10">
        <v>1975</v>
      </c>
      <c r="H16" s="10">
        <v>2126</v>
      </c>
      <c r="I16" s="10">
        <v>2581</v>
      </c>
      <c r="J16" s="10">
        <v>3108</v>
      </c>
      <c r="K16" s="10">
        <v>3394</v>
      </c>
      <c r="L16" s="10">
        <v>3737</v>
      </c>
      <c r="M16" s="10">
        <v>3986</v>
      </c>
      <c r="N16" s="10">
        <v>4103</v>
      </c>
      <c r="O16" s="10">
        <v>4008</v>
      </c>
      <c r="P16" s="10">
        <v>3856</v>
      </c>
      <c r="Q16" s="10">
        <v>4240</v>
      </c>
      <c r="R16" s="10">
        <v>2083</v>
      </c>
      <c r="S16" s="10">
        <v>2965</v>
      </c>
      <c r="T16" s="10">
        <v>3788</v>
      </c>
      <c r="U16" s="10">
        <v>4627</v>
      </c>
      <c r="V16">
        <v>6260</v>
      </c>
      <c r="W16">
        <v>5829</v>
      </c>
      <c r="X16">
        <v>5887</v>
      </c>
      <c r="Y16">
        <v>7508</v>
      </c>
      <c r="Z16">
        <v>8563</v>
      </c>
    </row>
    <row r="17" spans="1:29" x14ac:dyDescent="0.25">
      <c r="A17" s="11" t="s">
        <v>9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  <c r="Z17">
        <f>Z16/Z$3</f>
      </c>
      <c r="AA17">
        <f>AA16/AA$3</f>
      </c>
      <c r="AB17">
        <f>AB16/AB$3</f>
      </c>
      <c r="AC17">
        <f>AC16/AC$3</f>
      </c>
    </row>
    <row r="18" spans="1:29" x14ac:dyDescent="0.25">
      <c r="A18" s="13" t="s">
        <v>7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  <c r="Z18">
        <f>Z16/V16-1</f>
      </c>
      <c r="AA18">
        <f>AA16/W16-1</f>
      </c>
      <c r="AB18">
        <f>AB16/X16-1</f>
      </c>
      <c r="AC18">
        <f>AC16/Y16-1</f>
      </c>
    </row>
    <row r="19" spans="1:26" x14ac:dyDescent="0.25">
      <c r="A19" s="23" t="s">
        <v>14</v>
      </c>
      <c r="B19" s="24">
        <v>-410</v>
      </c>
      <c r="C19" s="24">
        <v>-357</v>
      </c>
      <c r="D19" s="24">
        <v>-415</v>
      </c>
      <c r="E19" s="24">
        <v>-389</v>
      </c>
      <c r="F19" s="24">
        <v>-453</v>
      </c>
      <c r="G19" s="24">
        <v>-489</v>
      </c>
      <c r="H19" s="24">
        <v>-400</v>
      </c>
      <c r="I19" s="24">
        <v>-412</v>
      </c>
      <c r="J19" s="24">
        <v>-421</v>
      </c>
      <c r="K19" s="24">
        <v>-604</v>
      </c>
      <c r="L19" s="24">
        <v>-400</v>
      </c>
      <c r="M19" s="24">
        <v>-366</v>
      </c>
      <c r="N19" s="24">
        <v>-263</v>
      </c>
      <c r="O19" s="24">
        <v>-292</v>
      </c>
      <c r="P19" s="24">
        <v>-282</v>
      </c>
      <c r="Q19" s="24">
        <v>-273</v>
      </c>
      <c r="R19" s="24">
        <v>-741</v>
      </c>
      <c r="S19" s="24">
        <v>-960</v>
      </c>
      <c r="T19" s="24">
        <v>-982</v>
      </c>
      <c r="U19" s="24">
        <v>-864</v>
      </c>
      <c r="V19">
        <v>-770</v>
      </c>
      <c r="W19">
        <v>-744</v>
      </c>
      <c r="X19">
        <v>-602</v>
      </c>
      <c r="Y19">
        <v>-639</v>
      </c>
      <c r="Z19">
        <v>-368</v>
      </c>
    </row>
    <row r="20" spans="1:26" x14ac:dyDescent="0.25">
      <c r="A20" s="9" t="s">
        <v>15</v>
      </c>
      <c r="B20" s="10">
        <v>385</v>
      </c>
      <c r="C20" s="10">
        <v>563</v>
      </c>
      <c r="D20" s="10">
        <v>688</v>
      </c>
      <c r="E20" s="10">
        <v>1324</v>
      </c>
      <c r="F20" s="10">
        <v>1378</v>
      </c>
      <c r="G20" s="10">
        <v>1493</v>
      </c>
      <c r="H20" s="10">
        <v>1876</v>
      </c>
      <c r="I20" s="10">
        <v>1989</v>
      </c>
      <c r="J20" s="10">
        <v>2472</v>
      </c>
      <c r="K20" s="10">
        <v>2590</v>
      </c>
      <c r="L20" s="10">
        <v>3074</v>
      </c>
      <c r="M20" s="10">
        <v>3359</v>
      </c>
      <c r="N20" s="10">
        <v>3774</v>
      </c>
      <c r="O20" s="10">
        <v>3481</v>
      </c>
      <c r="P20" s="10">
        <v>3303</v>
      </c>
      <c r="Q20" s="10">
        <v>3524</v>
      </c>
      <c r="R20" s="10">
        <v>1325</v>
      </c>
      <c r="S20" s="10">
        <v>2121</v>
      </c>
      <c r="T20" s="10">
        <v>-1875</v>
      </c>
      <c r="U20" s="10">
        <v>4324</v>
      </c>
      <c r="V20">
        <v>5503</v>
      </c>
      <c r="W20">
        <v>4965</v>
      </c>
      <c r="X20">
        <v>4140</v>
      </c>
      <c r="Y20">
        <v>8518</v>
      </c>
      <c r="Z20">
        <v>7349</v>
      </c>
    </row>
    <row r="21" spans="1:26" x14ac:dyDescent="0.25">
      <c r="A21" s="11" t="s">
        <v>9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  <c r="W21">
        <f>W20/W$3</f>
      </c>
      <c r="X21">
        <f>X20/X$3</f>
      </c>
      <c r="Y21">
        <f>Y20/Y$3</f>
      </c>
      <c r="Z21">
        <f>Z20/Z$3</f>
      </c>
    </row>
    <row r="22" spans="1:29" x14ac:dyDescent="0.25">
      <c r="A22" s="13" t="s">
        <v>7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  <c r="Z22">
        <f>Z20/V20-1</f>
      </c>
      <c r="AA22">
        <f>AA20/W20-1</f>
      </c>
      <c r="AB22">
        <f>AB20/X20-1</f>
      </c>
      <c r="AC22">
        <f>AC20/Y20-1</f>
      </c>
    </row>
    <row r="23" spans="1:26" x14ac:dyDescent="0.25">
      <c r="A23" s="25" t="s">
        <v>16</v>
      </c>
      <c r="B23" s="26">
        <v>0.07</v>
      </c>
      <c r="C23" s="26">
        <v>0.12</v>
      </c>
      <c r="D23" s="26">
        <v>0.14</v>
      </c>
      <c r="E23" s="26">
        <v>0.29</v>
      </c>
      <c r="F23" s="26">
        <v>0.31</v>
      </c>
      <c r="G23" s="26">
        <v>0.33</v>
      </c>
      <c r="H23" s="26">
        <v>0.42</v>
      </c>
      <c r="I23" s="26">
        <v>0.45</v>
      </c>
      <c r="J23" s="26">
        <v>0.56</v>
      </c>
      <c r="K23" s="26">
        <v>0.59</v>
      </c>
      <c r="L23" s="26">
        <v>0.72</v>
      </c>
      <c r="M23" s="26">
        <v>0.78</v>
      </c>
      <c r="N23" s="26">
        <v>0.88</v>
      </c>
      <c r="O23" s="26">
        <v>0.82</v>
      </c>
      <c r="P23" s="26">
        <v>0.77</v>
      </c>
      <c r="Q23" s="26">
        <v>0.83</v>
      </c>
      <c r="R23" s="26">
        <v>0.28</v>
      </c>
      <c r="S23" s="26">
        <v>0.44</v>
      </c>
      <c r="T23" s="26">
        <v>-0.4</v>
      </c>
      <c r="U23" s="26">
        <v>0.9</v>
      </c>
      <c r="V23">
        <v>1.14</v>
      </c>
      <c r="W23">
        <v>1.03</v>
      </c>
      <c r="X23">
        <v>0.85</v>
      </c>
      <c r="Y23">
        <v>1.74</v>
      </c>
      <c r="Z23">
        <v>1.5</v>
      </c>
    </row>
    <row r="24" spans="1:29" x14ac:dyDescent="0.25">
      <c r="A24" s="27" t="s">
        <v>17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  <c r="Z24">
        <f>Z26/SUM(W23:Z23)</f>
      </c>
      <c r="AA24">
        <f>AA26/SUM(X23:AA23)</f>
      </c>
      <c r="AB24">
        <f>AB26/SUM(Y23:AB23)</f>
      </c>
      <c r="AC24">
        <f>AC26/SUM(Z23:AC23)</f>
      </c>
    </row>
    <row r="25" spans="1:29" x14ac:dyDescent="0.25">
      <c r="A25" s="29" t="s">
        <v>18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  <c r="Z25">
        <f>AVERAGE(W24:Z24)</f>
      </c>
      <c r="AA25">
        <f>AVERAGE(X24:AA24)</f>
      </c>
      <c r="AB25">
        <f>AVERAGE(Y24:AB24)</f>
      </c>
      <c r="AC25">
        <f>AVERAGE(Z24:AC24)</f>
      </c>
    </row>
    <row r="26" spans="1:26" x14ac:dyDescent="0.25">
      <c r="A26" s="27" t="s">
        <v>19</v>
      </c>
      <c r="B26" s="31">
        <v>30.52</v>
      </c>
      <c r="C26" s="31">
        <v>25.97</v>
      </c>
      <c r="D26" s="31">
        <v>32.12</v>
      </c>
      <c r="E26" s="31">
        <v>35.13</v>
      </c>
      <c r="F26" s="31">
        <v>45.05</v>
      </c>
      <c r="G26" s="31">
        <v>45.01</v>
      </c>
      <c r="H26" s="31">
        <v>48.68</v>
      </c>
      <c r="I26" s="31">
        <v>53.71</v>
      </c>
      <c r="J26" s="31">
        <v>58.59</v>
      </c>
      <c r="K26" s="31">
        <v>58.12</v>
      </c>
      <c r="L26" s="31">
        <v>54.67</v>
      </c>
      <c r="M26" s="31">
        <v>45.6</v>
      </c>
      <c r="N26" s="31">
        <v>58.5</v>
      </c>
      <c r="O26" s="31">
        <v>61.32</v>
      </c>
      <c r="P26" s="31">
        <v>88.5</v>
      </c>
      <c r="Q26" s="31">
        <v>87.13</v>
      </c>
      <c r="R26" s="31">
        <v>118</v>
      </c>
      <c r="S26" s="31">
        <v>127.81</v>
      </c>
      <c r="T26" s="31">
        <v>143.82</v>
      </c>
      <c r="U26" s="31">
        <v>168.92</v>
      </c>
      <c r="V26">
        <v>221.27</v>
      </c>
      <c r="W26">
        <v>203.64</v>
      </c>
      <c r="X26">
        <v>288.64</v>
      </c>
      <c r="Y26">
        <v>369.63</v>
      </c>
      <c r="Z26">
        <v>331.3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AVGO業績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