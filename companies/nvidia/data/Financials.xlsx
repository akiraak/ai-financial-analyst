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DA業績" state="visible" r:id="rId4"/>
  </sheets>
  <calcPr calcId="171027"/>
</workbook>
</file>

<file path=xl/sharedStrings.xml><?xml version="1.0" encoding="utf-8"?>
<sst xmlns="http://schemas.openxmlformats.org/spreadsheetml/2006/main" count="49" uniqueCount="21">
  <si>
    <t>期間</t>
  </si>
  <si>
    <t>Q1</t>
  </si>
  <si>
    <t>Q2</t>
  </si>
  <si>
    <t>Q3</t>
  </si>
  <si>
    <t>Q4</t>
  </si>
  <si>
    <t>Q4予想</t>
  </si>
  <si>
    <t>売上高</t>
  </si>
  <si>
    <t>前期比</t>
  </si>
  <si>
    <t>前年比</t>
  </si>
  <si>
    <t>売上総利益（粗利）</t>
  </si>
  <si>
    <t>売上比</t>
  </si>
  <si>
    <t>研究開発費</t>
  </si>
  <si>
    <t>その他販管費</t>
  </si>
  <si>
    <t>販管費</t>
  </si>
  <si>
    <t>営業利益</t>
  </si>
  <si>
    <t>営業外収支</t>
  </si>
  <si>
    <t>当期純利益</t>
  </si>
  <si>
    <t>EPS</t>
  </si>
  <si>
    <t>PER</t>
  </si>
  <si>
    <t>PER4移動平均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</si>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</sst>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color rgb="FF666666"/>
      <sz val="9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7EE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D9F0"/>
      </patternFill>
    </fill>
    <fill>
      <patternFill patternType="solid">
        <fgColor rgb="FFF0ECF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indent="1"/>
    </xf>
    <xf numFmtId="164" fontId="3" fillId="5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vertical="center" indent="1"/>
    </xf>
    <xf numFmtId="164" fontId="3" fillId="7" borderId="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vertical="center" indent="1"/>
    </xf>
    <xf numFmtId="164" fontId="3" fillId="9" borderId="2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vertical="center" indent="1"/>
    </xf>
    <xf numFmtId="164" fontId="3" fillId="9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2" fontId="4" fillId="10" borderId="2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vertical="center" indent="1"/>
    </xf>
    <xf numFmtId="165" fontId="3" fillId="11" borderId="2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1" width="11" customWidth="1"/>
  </cols>
  <sheetData>
    <row r="1" ht="22" customHeight="1" spans="1:22" x14ac:dyDescent="0.25">
      <c r="A1" s="1"/>
      <c r="B1" s="1">
        <v>2021</v>
      </c>
      <c r="C1" s="1"/>
      <c r="D1" s="1"/>
      <c r="E1" s="1"/>
      <c r="F1" s="1">
        <v>2022</v>
      </c>
      <c r="G1" s="1"/>
      <c r="H1" s="1"/>
      <c r="I1" s="1"/>
      <c r="J1" s="1">
        <v>2023</v>
      </c>
      <c r="K1" s="1"/>
      <c r="L1" s="1"/>
      <c r="M1" s="1"/>
      <c r="N1" s="1">
        <v>2024</v>
      </c>
      <c r="O1" s="1"/>
      <c r="P1" s="1"/>
      <c r="Q1" s="1"/>
      <c r="R1" s="1">
        <v>2025</v>
      </c>
      <c r="S1" s="1"/>
      <c r="T1" s="1"/>
      <c r="U1" s="1"/>
      <c r="V1">
        <v>2026</v>
      </c>
    </row>
    <row r="2" ht="20" customHeight="1" spans="1: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1</v>
      </c>
      <c r="S2" s="2" t="s">
        <v>2</v>
      </c>
      <c r="T2" s="2" t="s">
        <v>3</v>
      </c>
      <c r="U2" s="2" t="s">
        <v>4</v>
      </c>
      <c r="V2" t="s">
        <v>1</v>
      </c>
      <c r="W2" t="s">
        <v>2</v>
      </c>
      <c r="X2" t="s">
        <v>3</v>
      </c>
      <c r="Y2" t="s">
        <v>5</v>
      </c>
    </row>
    <row r="3" spans="1:24" x14ac:dyDescent="0.25">
      <c r="A3" s="3" t="s">
        <v>6</v>
      </c>
      <c r="B3" s="4">
        <v>3080</v>
      </c>
      <c r="C3" s="4">
        <v>3866</v>
      </c>
      <c r="D3" s="4">
        <v>4726</v>
      </c>
      <c r="E3" s="4">
        <v>5003</v>
      </c>
      <c r="F3" s="4">
        <v>5661</v>
      </c>
      <c r="G3" s="4">
        <v>6507</v>
      </c>
      <c r="H3" s="4">
        <v>7103</v>
      </c>
      <c r="I3" s="4">
        <v>7643</v>
      </c>
      <c r="J3" s="4">
        <v>8288</v>
      </c>
      <c r="K3" s="4">
        <v>6704</v>
      </c>
      <c r="L3" s="4">
        <v>5931</v>
      </c>
      <c r="M3" s="4">
        <v>6051</v>
      </c>
      <c r="N3" s="4">
        <v>7192</v>
      </c>
      <c r="O3" s="4">
        <v>13507</v>
      </c>
      <c r="P3" s="4">
        <v>18120</v>
      </c>
      <c r="Q3" s="4">
        <v>22103</v>
      </c>
      <c r="R3" s="4">
        <v>26044</v>
      </c>
      <c r="S3" s="4">
        <v>30040</v>
      </c>
      <c r="T3" s="4">
        <v>35082</v>
      </c>
      <c r="U3" s="4">
        <v>39331</v>
      </c>
      <c r="V3">
        <v>44062</v>
      </c>
      <c r="W3">
        <v>46743</v>
      </c>
      <c r="X3">
        <v>57006</v>
      </c>
    </row>
    <row r="4" spans="1:25" x14ac:dyDescent="0.25">
      <c r="A4" s="5" t="s">
        <v>7</v>
      </c>
      <c r="B4" s="6"/>
      <c r="C4" s="6">
        <f>C3/B3</f>
      </c>
      <c r="D4" s="6">
        <f>D3/C3</f>
      </c>
      <c r="E4" s="6">
        <f>E3/D3</f>
      </c>
      <c r="F4" s="6">
        <f>F3/E3</f>
      </c>
      <c r="G4" s="6">
        <f>G3/F3</f>
      </c>
      <c r="H4" s="6">
        <f>H3/G3</f>
      </c>
      <c r="I4" s="6">
        <f>I3/H3</f>
      </c>
      <c r="J4" s="6">
        <f>J3/I3</f>
      </c>
      <c r="K4" s="6">
        <f>K3/J3</f>
      </c>
      <c r="L4" s="6">
        <f>L3/K3</f>
      </c>
      <c r="M4" s="6">
        <f>M3/L3</f>
      </c>
      <c r="N4" s="6">
        <f>N3/M3</f>
      </c>
      <c r="O4" s="6">
        <f>O3/N3</f>
      </c>
      <c r="P4" s="6">
        <f>P3/O3</f>
      </c>
      <c r="Q4" s="6">
        <f>Q3/P3</f>
      </c>
      <c r="R4" s="6">
        <f>R3/Q3</f>
      </c>
      <c r="S4" s="6">
        <f>S3/R3</f>
      </c>
      <c r="T4" s="6">
        <f>T3/S3</f>
      </c>
      <c r="U4" s="6">
        <f>U3/T3</f>
      </c>
      <c r="V4">
        <f>V3/U3</f>
      </c>
      <c r="W4">
        <f>W3/V3</f>
      </c>
      <c r="X4">
        <f>X3/W3</f>
      </c>
      <c r="Y4">
        <f>Y3/X3</f>
      </c>
    </row>
    <row r="5" spans="1:25" x14ac:dyDescent="0.25">
      <c r="A5" s="7" t="s">
        <v>8</v>
      </c>
      <c r="B5" s="8"/>
      <c r="C5" s="8"/>
      <c r="D5" s="8"/>
      <c r="E5" s="8"/>
      <c r="F5" s="8">
        <f>B3/F3</f>
      </c>
      <c r="G5" s="8">
        <f>C3/G3</f>
      </c>
      <c r="H5" s="8">
        <f>D3/H3</f>
      </c>
      <c r="I5" s="8">
        <f>E3/I3</f>
      </c>
      <c r="J5" s="8">
        <f>F3/J3</f>
      </c>
      <c r="K5" s="8">
        <f>G3/K3</f>
      </c>
      <c r="L5" s="8">
        <f>H3/L3</f>
      </c>
      <c r="M5" s="8">
        <f>I3/M3</f>
      </c>
      <c r="N5" s="8">
        <f>J3/N3</f>
      </c>
      <c r="O5" s="8">
        <f>K3/O3</f>
      </c>
      <c r="P5" s="8">
        <f>L3/P3</f>
      </c>
      <c r="Q5" s="8">
        <f>M3/Q3</f>
      </c>
      <c r="R5" s="8">
        <f>N3/R3</f>
      </c>
      <c r="S5" s="8">
        <f>O3/S3</f>
      </c>
      <c r="T5" s="8">
        <f>P3/T3</f>
      </c>
      <c r="U5" s="8">
        <f>Q3/U3</f>
      </c>
      <c r="V5">
        <f>R3/V3</f>
      </c>
      <c r="W5">
        <f>S3/W3</f>
      </c>
      <c r="X5">
        <f>T3/X3</f>
      </c>
      <c r="Y5">
        <f>U3/Y3</f>
      </c>
    </row>
    <row r="6" spans="1:24" x14ac:dyDescent="0.25">
      <c r="A6" s="9" t="s">
        <v>9</v>
      </c>
      <c r="B6" s="10">
        <v>2004</v>
      </c>
      <c r="C6" s="10">
        <v>2275</v>
      </c>
      <c r="D6" s="10">
        <v>2960</v>
      </c>
      <c r="E6" s="10">
        <v>3157</v>
      </c>
      <c r="F6" s="10">
        <v>3629</v>
      </c>
      <c r="G6" s="10">
        <v>4215</v>
      </c>
      <c r="H6" s="10">
        <v>4631</v>
      </c>
      <c r="I6" s="10">
        <v>4999</v>
      </c>
      <c r="J6" s="10">
        <v>5431</v>
      </c>
      <c r="K6" s="10">
        <v>2915</v>
      </c>
      <c r="L6" s="10">
        <v>3177</v>
      </c>
      <c r="M6" s="10">
        <v>3833</v>
      </c>
      <c r="N6" s="10">
        <v>4648</v>
      </c>
      <c r="O6" s="10">
        <v>9462</v>
      </c>
      <c r="P6" s="10">
        <v>13400</v>
      </c>
      <c r="Q6" s="10">
        <v>16791</v>
      </c>
      <c r="R6" s="10">
        <v>20406</v>
      </c>
      <c r="S6" s="10">
        <v>22574</v>
      </c>
      <c r="T6" s="10">
        <v>26156</v>
      </c>
      <c r="U6" s="10">
        <v>28723</v>
      </c>
      <c r="V6">
        <v>26668</v>
      </c>
      <c r="W6">
        <v>33853</v>
      </c>
      <c r="X6">
        <v>41849</v>
      </c>
    </row>
    <row r="7" spans="1:24" x14ac:dyDescent="0.25">
      <c r="A7" s="11" t="s">
        <v>10</v>
      </c>
      <c r="B7" s="12">
        <f>B6/B$3</f>
      </c>
      <c r="C7" s="12">
        <f>C6/C$3</f>
      </c>
      <c r="D7" s="12">
        <f>D6/D$3</f>
      </c>
      <c r="E7" s="12">
        <f>E6/E$3</f>
      </c>
      <c r="F7" s="12">
        <f>F6/F$3</f>
      </c>
      <c r="G7" s="12">
        <f>G6/G$3</f>
      </c>
      <c r="H7" s="12">
        <f>H6/H$3</f>
      </c>
      <c r="I7" s="12">
        <f>I6/I$3</f>
      </c>
      <c r="J7" s="12">
        <f>J6/J$3</f>
      </c>
      <c r="K7" s="12">
        <f>K6/K$3</f>
      </c>
      <c r="L7" s="12">
        <f>L6/L$3</f>
      </c>
      <c r="M7" s="12">
        <f>M6/M$3</f>
      </c>
      <c r="N7" s="12">
        <f>N6/N$3</f>
      </c>
      <c r="O7" s="12">
        <f>O6/O$3</f>
      </c>
      <c r="P7" s="12">
        <f>P6/P$3</f>
      </c>
      <c r="Q7" s="12">
        <f>Q6/Q$3</f>
      </c>
      <c r="R7" s="12">
        <f>R6/R$3</f>
      </c>
      <c r="S7" s="12">
        <f>S6/S$3</f>
      </c>
      <c r="T7" s="12">
        <f>T6/T$3</f>
      </c>
      <c r="U7" s="12">
        <f>U6/U$3</f>
      </c>
      <c r="V7">
        <f>V6/V$3</f>
      </c>
      <c r="W7">
        <f>W6/W$3</f>
      </c>
      <c r="X7">
        <f>X6/X$3</f>
      </c>
    </row>
    <row r="8" spans="1:25" x14ac:dyDescent="0.25">
      <c r="A8" s="13" t="s">
        <v>8</v>
      </c>
      <c r="B8" s="14"/>
      <c r="C8" s="14"/>
      <c r="D8" s="14"/>
      <c r="E8" s="14"/>
      <c r="F8" s="14">
        <f>F6/B6</f>
      </c>
      <c r="G8" s="14">
        <f>G6/C6</f>
      </c>
      <c r="H8" s="14">
        <f>H6/D6</f>
      </c>
      <c r="I8" s="14">
        <f>I6/E6</f>
      </c>
      <c r="J8" s="14">
        <f>J6/F6</f>
      </c>
      <c r="K8" s="14">
        <f>K6/G6</f>
      </c>
      <c r="L8" s="14">
        <f>L6/H6</f>
      </c>
      <c r="M8" s="14">
        <f>M6/I6</f>
      </c>
      <c r="N8" s="14">
        <f>N6/J6</f>
      </c>
      <c r="O8" s="14">
        <f>O6/K6</f>
      </c>
      <c r="P8" s="14">
        <f>P6/L6</f>
      </c>
      <c r="Q8" s="14">
        <f>Q6/M6</f>
      </c>
      <c r="R8" s="14">
        <f>R6/N6</f>
      </c>
      <c r="S8" s="14">
        <f>S6/O6</f>
      </c>
      <c r="T8" s="14">
        <f>T6/P6</f>
      </c>
      <c r="U8" s="14">
        <f>U6/Q6</f>
      </c>
      <c r="V8">
        <f>V6/R6</f>
      </c>
      <c r="W8">
        <f>W6/S6</f>
      </c>
      <c r="X8">
        <f>X6/T6</f>
      </c>
      <c r="Y8">
        <f>Y6/U6</f>
      </c>
    </row>
    <row r="9" spans="1:24" x14ac:dyDescent="0.25">
      <c r="A9" s="15" t="s">
        <v>11</v>
      </c>
      <c r="B9" s="16">
        <v>735</v>
      </c>
      <c r="C9" s="16">
        <v>997</v>
      </c>
      <c r="D9" s="16">
        <v>1047</v>
      </c>
      <c r="E9" s="16">
        <v>1147</v>
      </c>
      <c r="F9" s="16">
        <v>1153</v>
      </c>
      <c r="G9" s="16">
        <v>1245</v>
      </c>
      <c r="H9" s="16">
        <v>1403</v>
      </c>
      <c r="I9" s="16">
        <v>1466</v>
      </c>
      <c r="J9" s="16">
        <v>1618</v>
      </c>
      <c r="K9" s="16">
        <v>1824</v>
      </c>
      <c r="L9" s="16">
        <v>1945</v>
      </c>
      <c r="M9" s="16">
        <v>1951</v>
      </c>
      <c r="N9" s="16">
        <v>1875</v>
      </c>
      <c r="O9" s="16">
        <v>2040</v>
      </c>
      <c r="P9" s="16">
        <v>2294</v>
      </c>
      <c r="Q9" s="16">
        <v>2465</v>
      </c>
      <c r="R9" s="16">
        <v>2720</v>
      </c>
      <c r="S9" s="16">
        <v>3090</v>
      </c>
      <c r="T9" s="16">
        <v>3390</v>
      </c>
      <c r="U9" s="16">
        <v>3714</v>
      </c>
      <c r="V9">
        <v>3989</v>
      </c>
      <c r="W9">
        <v>4291</v>
      </c>
      <c r="X9">
        <v>4705</v>
      </c>
    </row>
    <row r="10" spans="1:25" x14ac:dyDescent="0.25">
      <c r="A10" s="17" t="s">
        <v>10</v>
      </c>
      <c r="B10" s="18">
        <f>B9/B$3</f>
      </c>
      <c r="C10" s="18">
        <f>C9/C$3</f>
      </c>
      <c r="D10" s="18">
        <f>D9/D$3</f>
      </c>
      <c r="E10" s="18">
        <f>E9/E$3</f>
      </c>
      <c r="F10" s="18">
        <f>F9/F$3</f>
      </c>
      <c r="G10" s="18">
        <f>G9/G$3</f>
      </c>
      <c r="H10" s="18">
        <f>H9/H$3</f>
      </c>
      <c r="I10" s="18">
        <f>I9/I$3</f>
      </c>
      <c r="J10" s="18">
        <f>J9/J$3</f>
      </c>
      <c r="K10" s="18">
        <f>K9/K$3</f>
      </c>
      <c r="L10" s="18">
        <f>L9/L$3</f>
      </c>
      <c r="M10" s="18">
        <f>M9/M$3</f>
      </c>
      <c r="N10" s="18">
        <f>N9/N$3</f>
      </c>
      <c r="O10" s="18">
        <f>O9/O$3</f>
      </c>
      <c r="P10" s="18">
        <f>P9/P$3</f>
      </c>
      <c r="Q10" s="18">
        <f>Q9/Q$3</f>
      </c>
      <c r="R10" s="18">
        <f>R9/R$3</f>
      </c>
      <c r="S10" s="18">
        <f>S9/S$3</f>
      </c>
      <c r="T10" s="18">
        <f>T9/T$3</f>
      </c>
      <c r="U10" s="18">
        <f>U9/U$3</f>
      </c>
      <c r="V10">
        <f>V9/V$3</f>
      </c>
      <c r="W10">
        <f>W9/W$3</f>
      </c>
      <c r="X10">
        <f>X9/X$3</f>
      </c>
      <c r="Y10">
        <f>Y9/Y$3</f>
      </c>
    </row>
    <row r="11" spans="1:24" x14ac:dyDescent="0.25">
      <c r="A11" s="15" t="s">
        <v>12</v>
      </c>
      <c r="B11" s="16">
        <v>293</v>
      </c>
      <c r="C11" s="16">
        <v>627</v>
      </c>
      <c r="D11" s="16">
        <v>515</v>
      </c>
      <c r="E11" s="16">
        <v>503</v>
      </c>
      <c r="F11" s="16">
        <v>520</v>
      </c>
      <c r="G11" s="16">
        <v>526</v>
      </c>
      <c r="H11" s="16">
        <v>557</v>
      </c>
      <c r="I11" s="16">
        <v>563</v>
      </c>
      <c r="J11" s="16">
        <v>592</v>
      </c>
      <c r="K11" s="16">
        <v>592</v>
      </c>
      <c r="L11" s="16">
        <v>631</v>
      </c>
      <c r="M11" s="16">
        <v>625</v>
      </c>
      <c r="N11" s="16">
        <v>633</v>
      </c>
      <c r="O11" s="16">
        <v>622</v>
      </c>
      <c r="P11" s="16">
        <v>689</v>
      </c>
      <c r="Q11" s="16">
        <v>711</v>
      </c>
      <c r="R11" s="16">
        <v>777</v>
      </c>
      <c r="S11" s="16">
        <v>842</v>
      </c>
      <c r="T11" s="16">
        <v>897</v>
      </c>
      <c r="U11" s="16">
        <v>975</v>
      </c>
      <c r="V11">
        <v>1041</v>
      </c>
      <c r="W11">
        <v>1122</v>
      </c>
      <c r="X11">
        <v>1134</v>
      </c>
    </row>
    <row r="12" spans="1:25" x14ac:dyDescent="0.25">
      <c r="A12" s="17" t="s">
        <v>10</v>
      </c>
      <c r="B12" s="18">
        <f>B11/B$3</f>
      </c>
      <c r="C12" s="18">
        <f>C11/C$3</f>
      </c>
      <c r="D12" s="18">
        <f>D11/D$3</f>
      </c>
      <c r="E12" s="18">
        <f>E11/E$3</f>
      </c>
      <c r="F12" s="18">
        <f>F11/F$3</f>
      </c>
      <c r="G12" s="18">
        <f>G11/G$3</f>
      </c>
      <c r="H12" s="18">
        <f>H11/H$3</f>
      </c>
      <c r="I12" s="18">
        <f>I11/I$3</f>
      </c>
      <c r="J12" s="18">
        <f>J11/J$3</f>
      </c>
      <c r="K12" s="18">
        <f>K11/K$3</f>
      </c>
      <c r="L12" s="18">
        <f>L11/L$3</f>
      </c>
      <c r="M12" s="18">
        <f>M11/M$3</f>
      </c>
      <c r="N12" s="18">
        <f>N11/N$3</f>
      </c>
      <c r="O12" s="18">
        <f>O11/O$3</f>
      </c>
      <c r="P12" s="18">
        <f>P11/P$3</f>
      </c>
      <c r="Q12" s="18">
        <f>Q11/Q$3</f>
      </c>
      <c r="R12" s="18">
        <f>R11/R$3</f>
      </c>
      <c r="S12" s="18">
        <f>S11/S$3</f>
      </c>
      <c r="T12" s="18">
        <f>T11/T$3</f>
      </c>
      <c r="U12" s="18">
        <f>U11/U$3</f>
      </c>
      <c r="V12">
        <f>V11/V$3</f>
      </c>
      <c r="W12">
        <f>W11/W$3</f>
      </c>
      <c r="X12">
        <f>X11/X$3</f>
      </c>
      <c r="Y12">
        <f>Y11/Y$3</f>
      </c>
    </row>
    <row r="13" spans="1:24" x14ac:dyDescent="0.25">
      <c r="A13" s="19" t="s">
        <v>13</v>
      </c>
      <c r="B13" s="20">
        <v>1028</v>
      </c>
      <c r="C13" s="20">
        <v>1624</v>
      </c>
      <c r="D13" s="20">
        <v>1562</v>
      </c>
      <c r="E13" s="20">
        <v>1650</v>
      </c>
      <c r="F13" s="20">
        <v>1673</v>
      </c>
      <c r="G13" s="20">
        <v>1771</v>
      </c>
      <c r="H13" s="20">
        <v>1960</v>
      </c>
      <c r="I13" s="20">
        <v>2029</v>
      </c>
      <c r="J13" s="20">
        <v>2210</v>
      </c>
      <c r="K13" s="20">
        <v>2416</v>
      </c>
      <c r="L13" s="20">
        <v>2576</v>
      </c>
      <c r="M13" s="20">
        <v>2576</v>
      </c>
      <c r="N13" s="20">
        <v>2508</v>
      </c>
      <c r="O13" s="20">
        <v>2662</v>
      </c>
      <c r="P13" s="20">
        <v>2983</v>
      </c>
      <c r="Q13" s="20">
        <v>3176</v>
      </c>
      <c r="R13" s="20">
        <v>3497</v>
      </c>
      <c r="S13" s="20">
        <v>3932</v>
      </c>
      <c r="T13" s="20">
        <v>4287</v>
      </c>
      <c r="U13" s="20">
        <v>4689</v>
      </c>
      <c r="V13">
        <v>5030</v>
      </c>
      <c r="W13">
        <v>5413</v>
      </c>
      <c r="X13">
        <v>5839</v>
      </c>
    </row>
    <row r="14" spans="1:25" x14ac:dyDescent="0.25">
      <c r="A14" s="21" t="s">
        <v>10</v>
      </c>
      <c r="B14" s="22">
        <f>B13/B$3</f>
      </c>
      <c r="C14" s="22">
        <f>C13/C$3</f>
      </c>
      <c r="D14" s="22">
        <f>D13/D$3</f>
      </c>
      <c r="E14" s="22">
        <f>E13/E$3</f>
      </c>
      <c r="F14" s="22">
        <f>F13/F$3</f>
      </c>
      <c r="G14" s="22">
        <f>G13/G$3</f>
      </c>
      <c r="H14" s="22">
        <f>H13/H$3</f>
      </c>
      <c r="I14" s="22">
        <f>I13/I$3</f>
      </c>
      <c r="J14" s="22">
        <f>J13/J$3</f>
      </c>
      <c r="K14" s="22">
        <f>K13/K$3</f>
      </c>
      <c r="L14" s="22">
        <f>L13/L$3</f>
      </c>
      <c r="M14" s="22">
        <f>M13/M$3</f>
      </c>
      <c r="N14" s="22">
        <f>N13/N$3</f>
      </c>
      <c r="O14" s="22">
        <f>O13/O$3</f>
      </c>
      <c r="P14" s="22">
        <f>P13/P$3</f>
      </c>
      <c r="Q14" s="22">
        <f>Q13/Q$3</f>
      </c>
      <c r="R14" s="22">
        <f>R13/R$3</f>
      </c>
      <c r="S14" s="22">
        <f>S13/S$3</f>
      </c>
      <c r="T14" s="22">
        <f>T13/T$3</f>
      </c>
      <c r="U14" s="22">
        <f>U13/U$3</f>
      </c>
      <c r="V14">
        <f>V13/V$3</f>
      </c>
      <c r="W14">
        <f>W13/W$3</f>
      </c>
      <c r="X14">
        <f>X13/X$3</f>
      </c>
      <c r="Y14">
        <f>Y13/Y$3</f>
      </c>
    </row>
    <row r="15" spans="1:25" x14ac:dyDescent="0.25">
      <c r="A15" s="17" t="s">
        <v>8</v>
      </c>
      <c r="B15" s="18"/>
      <c r="C15" s="18"/>
      <c r="D15" s="18"/>
      <c r="E15" s="18"/>
      <c r="F15" s="18">
        <f>F13/B13</f>
      </c>
      <c r="G15" s="18">
        <f>G13/C13</f>
      </c>
      <c r="H15" s="18">
        <f>H13/D13</f>
      </c>
      <c r="I15" s="18">
        <f>I13/E13</f>
      </c>
      <c r="J15" s="18">
        <f>J13/F13</f>
      </c>
      <c r="K15" s="18">
        <f>K13/G13</f>
      </c>
      <c r="L15" s="18">
        <f>L13/H13</f>
      </c>
      <c r="M15" s="18">
        <f>M13/I13</f>
      </c>
      <c r="N15" s="18">
        <f>N13/J13</f>
      </c>
      <c r="O15" s="18">
        <f>O13/K13</f>
      </c>
      <c r="P15" s="18">
        <f>P13/L13</f>
      </c>
      <c r="Q15" s="18">
        <f>Q13/M13</f>
      </c>
      <c r="R15" s="18">
        <f>R13/N13</f>
      </c>
      <c r="S15" s="18">
        <f>S13/O13</f>
      </c>
      <c r="T15" s="18">
        <f>T13/P13</f>
      </c>
      <c r="U15" s="18">
        <f>U13/Q13</f>
      </c>
      <c r="V15">
        <f>V13/R13</f>
      </c>
      <c r="W15">
        <f>W13/S13</f>
      </c>
      <c r="X15">
        <f>X13/T13</f>
      </c>
      <c r="Y15">
        <f>Y13/U13</f>
      </c>
    </row>
    <row r="16" spans="1:24" x14ac:dyDescent="0.25">
      <c r="A16" s="9" t="s">
        <v>14</v>
      </c>
      <c r="B16" s="10">
        <v>976</v>
      </c>
      <c r="C16" s="10">
        <v>651</v>
      </c>
      <c r="D16" s="10">
        <v>1398</v>
      </c>
      <c r="E16" s="10">
        <v>1507</v>
      </c>
      <c r="F16" s="10">
        <v>1956</v>
      </c>
      <c r="G16" s="10">
        <v>2444</v>
      </c>
      <c r="H16" s="10">
        <v>2671</v>
      </c>
      <c r="I16" s="10">
        <v>2970</v>
      </c>
      <c r="J16" s="10">
        <v>1868</v>
      </c>
      <c r="K16" s="10">
        <v>499</v>
      </c>
      <c r="L16" s="10">
        <v>601</v>
      </c>
      <c r="M16" s="10">
        <v>1257</v>
      </c>
      <c r="N16" s="10">
        <v>2140</v>
      </c>
      <c r="O16" s="10">
        <v>6800</v>
      </c>
      <c r="P16" s="10">
        <v>10417</v>
      </c>
      <c r="Q16" s="10">
        <v>13615</v>
      </c>
      <c r="R16" s="10">
        <v>16909</v>
      </c>
      <c r="S16" s="10">
        <v>18642</v>
      </c>
      <c r="T16" s="10">
        <v>21869</v>
      </c>
      <c r="U16" s="10">
        <v>24034</v>
      </c>
      <c r="V16">
        <v>21638</v>
      </c>
      <c r="W16">
        <v>28440</v>
      </c>
      <c r="X16">
        <v>36010</v>
      </c>
    </row>
    <row r="17" spans="1:25" x14ac:dyDescent="0.25">
      <c r="A17" s="11" t="s">
        <v>10</v>
      </c>
      <c r="B17" s="12">
        <f>B16/B$3</f>
      </c>
      <c r="C17" s="12">
        <f>C16/C$3</f>
      </c>
      <c r="D17" s="12">
        <f>D16/D$3</f>
      </c>
      <c r="E17" s="12">
        <f>E16/E$3</f>
      </c>
      <c r="F17" s="12">
        <f>F16/F$3</f>
      </c>
      <c r="G17" s="12">
        <f>G16/G$3</f>
      </c>
      <c r="H17" s="12">
        <f>H16/H$3</f>
      </c>
      <c r="I17" s="12">
        <f>I16/I$3</f>
      </c>
      <c r="J17" s="12">
        <f>J16/J$3</f>
      </c>
      <c r="K17" s="12">
        <f>K16/K$3</f>
      </c>
      <c r="L17" s="12">
        <f>L16/L$3</f>
      </c>
      <c r="M17" s="12">
        <f>M16/M$3</f>
      </c>
      <c r="N17" s="12">
        <f>N16/N$3</f>
      </c>
      <c r="O17" s="12">
        <f>O16/O$3</f>
      </c>
      <c r="P17" s="12">
        <f>P16/P$3</f>
      </c>
      <c r="Q17" s="12">
        <f>Q16/Q$3</f>
      </c>
      <c r="R17" s="12">
        <f>R16/R$3</f>
      </c>
      <c r="S17" s="12">
        <f>S16/S$3</f>
      </c>
      <c r="T17" s="12">
        <f>T16/T$3</f>
      </c>
      <c r="U17" s="12">
        <f>U16/U$3</f>
      </c>
      <c r="V17">
        <f>V16/V$3</f>
      </c>
      <c r="W17">
        <f>W16/W$3</f>
      </c>
      <c r="X17">
        <f>X16/X$3</f>
      </c>
      <c r="Y17">
        <f>Y16/Y$3</f>
      </c>
    </row>
    <row r="18" spans="1:25" x14ac:dyDescent="0.25">
      <c r="A18" s="13" t="s">
        <v>8</v>
      </c>
      <c r="B18" s="14"/>
      <c r="C18" s="14"/>
      <c r="D18" s="14"/>
      <c r="E18" s="14"/>
      <c r="F18" s="14">
        <f>F16/B16-1</f>
      </c>
      <c r="G18" s="14">
        <f>G16/C16-1</f>
      </c>
      <c r="H18" s="14">
        <f>H16/D16-1</f>
      </c>
      <c r="I18" s="14">
        <f>I16/E16-1</f>
      </c>
      <c r="J18" s="14">
        <f>J16/F16-1</f>
      </c>
      <c r="K18" s="14">
        <f>K16/G16-1</f>
      </c>
      <c r="L18" s="14">
        <f>L16/H16-1</f>
      </c>
      <c r="M18" s="14">
        <f>M16/I16-1</f>
      </c>
      <c r="N18" s="14">
        <f>N16/J16-1</f>
      </c>
      <c r="O18" s="14">
        <f>O16/K16-1</f>
      </c>
      <c r="P18" s="14">
        <f>P16/L16-1</f>
      </c>
      <c r="Q18" s="14">
        <f>Q16/M16-1</f>
      </c>
      <c r="R18" s="14">
        <f>R16/N16-1</f>
      </c>
      <c r="S18" s="14">
        <f>S16/O16-1</f>
      </c>
      <c r="T18" s="14">
        <f>T16/P16-1</f>
      </c>
      <c r="U18" s="14">
        <f>U16/Q16-1</f>
      </c>
      <c r="V18">
        <f>V16/R16-1</f>
      </c>
      <c r="W18">
        <f>W16/S16-1</f>
      </c>
      <c r="X18">
        <f>X16/T16-1</f>
      </c>
      <c r="Y18">
        <f>Y16/U16-1</f>
      </c>
    </row>
    <row r="19" spans="1:24" x14ac:dyDescent="0.25">
      <c r="A19" s="23" t="s">
        <v>15</v>
      </c>
      <c r="B19" s="24">
        <v>5</v>
      </c>
      <c r="C19" s="24">
        <v>-42</v>
      </c>
      <c r="D19" s="24">
        <v>-50</v>
      </c>
      <c r="E19" s="24">
        <v>-37</v>
      </c>
      <c r="F19" s="24">
        <v>88</v>
      </c>
      <c r="G19" s="24">
        <v>-50</v>
      </c>
      <c r="H19" s="24">
        <v>-33</v>
      </c>
      <c r="I19" s="24">
        <v>-105</v>
      </c>
      <c r="J19" s="24">
        <v>-63</v>
      </c>
      <c r="K19" s="24">
        <v>-24</v>
      </c>
      <c r="L19" s="24">
        <v>12</v>
      </c>
      <c r="M19" s="24">
        <v>32</v>
      </c>
      <c r="N19" s="24">
        <v>69</v>
      </c>
      <c r="O19" s="24">
        <v>181</v>
      </c>
      <c r="P19" s="24">
        <v>105</v>
      </c>
      <c r="Q19" s="24">
        <v>491</v>
      </c>
      <c r="R19" s="24">
        <v>370</v>
      </c>
      <c r="S19" s="24">
        <v>572</v>
      </c>
      <c r="T19" s="24">
        <v>447</v>
      </c>
      <c r="U19" s="24">
        <v>1183</v>
      </c>
      <c r="V19">
        <v>272</v>
      </c>
      <c r="W19">
        <v>2766</v>
      </c>
      <c r="X19">
        <v>1926</v>
      </c>
    </row>
    <row r="20" spans="1:24" x14ac:dyDescent="0.25">
      <c r="A20" s="9" t="s">
        <v>16</v>
      </c>
      <c r="B20" s="10">
        <v>917</v>
      </c>
      <c r="C20" s="10">
        <v>622</v>
      </c>
      <c r="D20" s="10">
        <v>1336</v>
      </c>
      <c r="E20" s="10">
        <v>1457</v>
      </c>
      <c r="F20" s="10">
        <v>1912</v>
      </c>
      <c r="G20" s="10">
        <v>2374</v>
      </c>
      <c r="H20" s="10">
        <v>2464</v>
      </c>
      <c r="I20" s="10">
        <v>3003</v>
      </c>
      <c r="J20" s="10">
        <v>1618</v>
      </c>
      <c r="K20" s="10">
        <v>656</v>
      </c>
      <c r="L20" s="10">
        <v>680</v>
      </c>
      <c r="M20" s="10">
        <v>1414</v>
      </c>
      <c r="N20" s="10">
        <v>2043</v>
      </c>
      <c r="O20" s="10">
        <v>6188</v>
      </c>
      <c r="P20" s="10">
        <v>9243</v>
      </c>
      <c r="Q20" s="10">
        <v>12285</v>
      </c>
      <c r="R20" s="10">
        <v>14881</v>
      </c>
      <c r="S20" s="10">
        <v>16599</v>
      </c>
      <c r="T20" s="10">
        <v>19309</v>
      </c>
      <c r="U20" s="10">
        <v>22091</v>
      </c>
      <c r="V20">
        <v>18775</v>
      </c>
      <c r="W20">
        <v>26422</v>
      </c>
      <c r="X20">
        <v>31910</v>
      </c>
    </row>
    <row r="21" spans="1:24" x14ac:dyDescent="0.25">
      <c r="A21" s="11" t="s">
        <v>10</v>
      </c>
      <c r="B21" s="12">
        <f>B20/B$3</f>
      </c>
      <c r="C21" s="12">
        <f>C20/C$3</f>
      </c>
      <c r="D21" s="12">
        <f>D20/D$3</f>
      </c>
      <c r="E21" s="12">
        <f>E20/E$3</f>
      </c>
      <c r="F21" s="12">
        <f>F20/F$3</f>
      </c>
      <c r="G21" s="12">
        <f>G20/G$3</f>
      </c>
      <c r="H21" s="12">
        <f>H20/H$3</f>
      </c>
      <c r="I21" s="12">
        <f>I20/I$3</f>
      </c>
      <c r="J21" s="12">
        <f>J20/J$3</f>
      </c>
      <c r="K21" s="12">
        <f>K20/K$3</f>
      </c>
      <c r="L21" s="12">
        <f>L20/L$3</f>
      </c>
      <c r="M21" s="12">
        <f>M20/M$3</f>
      </c>
      <c r="N21" s="12">
        <f>N20/N$3</f>
      </c>
      <c r="O21" s="12">
        <f>O20/O$3</f>
      </c>
      <c r="P21" s="12">
        <f>P20/P$3</f>
      </c>
      <c r="Q21" s="12">
        <f>Q20/Q$3</f>
      </c>
      <c r="R21" s="12">
        <f>R20/R$3</f>
      </c>
      <c r="S21" s="12">
        <f>S20/S$3</f>
      </c>
      <c r="T21" s="12">
        <f>T20/T$3</f>
      </c>
      <c r="U21" s="12">
        <f>U20/U$3</f>
      </c>
      <c r="V21">
        <f>V20/V$3</f>
      </c>
      <c r="W21">
        <f>W20/W$3</f>
      </c>
      <c r="X21">
        <f>X20/X$3</f>
      </c>
    </row>
    <row r="22" spans="1:25" x14ac:dyDescent="0.25">
      <c r="A22" s="13" t="s">
        <v>8</v>
      </c>
      <c r="B22" s="14"/>
      <c r="C22" s="14"/>
      <c r="D22" s="14"/>
      <c r="E22" s="14"/>
      <c r="F22" s="14">
        <f>F20/B20-1</f>
      </c>
      <c r="G22" s="14">
        <f>G20/C20-1</f>
      </c>
      <c r="H22" s="14">
        <f>H20/D20-1</f>
      </c>
      <c r="I22" s="14">
        <f>I20/E20-1</f>
      </c>
      <c r="J22" s="14">
        <f>J20/F20-1</f>
      </c>
      <c r="K22" s="14">
        <f>K20/G20-1</f>
      </c>
      <c r="L22" s="14">
        <f>L20/H20-1</f>
      </c>
      <c r="M22" s="14">
        <f>M20/I20-1</f>
      </c>
      <c r="N22" s="14">
        <f>N20/J20-1</f>
      </c>
      <c r="O22" s="14">
        <f>O20/K20-1</f>
      </c>
      <c r="P22" s="14">
        <f>P20/L20-1</f>
      </c>
      <c r="Q22" s="14">
        <f>Q20/M20-1</f>
      </c>
      <c r="R22" s="14">
        <f>R20/N20-1</f>
      </c>
      <c r="S22" s="14">
        <f>S20/O20-1</f>
      </c>
      <c r="T22" s="14">
        <f>T20/P20-1</f>
      </c>
      <c r="U22" s="14">
        <f>U20/Q20-1</f>
      </c>
      <c r="V22">
        <f>V20/R20-1</f>
      </c>
      <c r="W22">
        <f>W20/S20-1</f>
      </c>
      <c r="X22">
        <f>X20/T20-1</f>
      </c>
      <c r="Y22">
        <f>Y20/U20-1</f>
      </c>
    </row>
    <row r="23" spans="1:24" x14ac:dyDescent="0.25">
      <c r="A23" s="25" t="s">
        <v>17</v>
      </c>
      <c r="B23" s="26">
        <v>0.04</v>
      </c>
      <c r="C23" s="26">
        <v>0.02</v>
      </c>
      <c r="D23" s="26">
        <v>0.05</v>
      </c>
      <c r="E23" s="26">
        <v>0.06</v>
      </c>
      <c r="F23" s="26">
        <v>0.08</v>
      </c>
      <c r="G23" s="26">
        <v>0.09</v>
      </c>
      <c r="H23" s="26">
        <v>0.1</v>
      </c>
      <c r="I23" s="26">
        <v>0.12</v>
      </c>
      <c r="J23" s="26">
        <v>0.06</v>
      </c>
      <c r="K23" s="26">
        <v>0.03</v>
      </c>
      <c r="L23" s="26">
        <v>0.03</v>
      </c>
      <c r="M23" s="26">
        <v>0.06</v>
      </c>
      <c r="N23" s="26">
        <v>0.08</v>
      </c>
      <c r="O23" s="26">
        <v>0.25</v>
      </c>
      <c r="P23" s="26">
        <v>0.37</v>
      </c>
      <c r="Q23" s="26">
        <v>0.49</v>
      </c>
      <c r="R23" s="26">
        <v>0.6</v>
      </c>
      <c r="S23" s="26">
        <v>0.67</v>
      </c>
      <c r="T23" s="26">
        <v>0.78</v>
      </c>
      <c r="U23" s="26">
        <v>0.89</v>
      </c>
      <c r="V23">
        <v>0.76</v>
      </c>
      <c r="W23">
        <v>1.08</v>
      </c>
      <c r="X23">
        <v>1.3</v>
      </c>
    </row>
    <row r="24" spans="1:25" x14ac:dyDescent="0.25">
      <c r="A24" s="27" t="s">
        <v>18</v>
      </c>
      <c r="B24" s="28"/>
      <c r="C24" s="28"/>
      <c r="D24" s="28"/>
      <c r="E24" s="28">
        <f>E26/SUM(B23:E23)</f>
      </c>
      <c r="F24" s="28">
        <f>F26/SUM(C23:F23)</f>
      </c>
      <c r="G24" s="28">
        <f>G26/SUM(D23:G23)</f>
      </c>
      <c r="H24" s="28">
        <f>H26/SUM(E23:H23)</f>
      </c>
      <c r="I24" s="28">
        <f>I26/SUM(F23:I23)</f>
      </c>
      <c r="J24" s="28">
        <f>J26/SUM(G23:J23)</f>
      </c>
      <c r="K24" s="28">
        <f>K26/SUM(H23:K23)</f>
      </c>
      <c r="L24" s="28">
        <f>L26/SUM(I23:L23)</f>
      </c>
      <c r="M24" s="28">
        <f>M26/SUM(J23:M23)</f>
      </c>
      <c r="N24" s="28">
        <f>N26/SUM(K23:N23)</f>
      </c>
      <c r="O24" s="28">
        <f>O26/SUM(L23:O23)</f>
      </c>
      <c r="P24" s="28">
        <f>P26/SUM(M23:P23)</f>
      </c>
      <c r="Q24" s="28">
        <f>Q26/SUM(N23:Q23)</f>
      </c>
      <c r="R24" s="28">
        <f>R26/SUM(O23:R23)</f>
      </c>
      <c r="S24" s="28">
        <f>S26/SUM(P23:S23)</f>
      </c>
      <c r="T24" s="28">
        <f>T26/SUM(Q23:T23)</f>
      </c>
      <c r="U24" s="28">
        <f>U26/SUM(R23:U23)</f>
      </c>
      <c r="V24">
        <f>V26/SUM(S23:V23)</f>
      </c>
      <c r="W24">
        <f>W26/SUM(T23:W23)</f>
      </c>
      <c r="X24">
        <f>X26/SUM(U23:X23)</f>
      </c>
      <c r="Y24">
        <f>Y26/SUM(V23:Y23)</f>
      </c>
    </row>
    <row r="25" spans="1:25" x14ac:dyDescent="0.25">
      <c r="A25" s="29" t="s">
        <v>19</v>
      </c>
      <c r="B25" s="30"/>
      <c r="C25" s="30"/>
      <c r="D25" s="30"/>
      <c r="E25" s="30"/>
      <c r="F25" s="30"/>
      <c r="G25" s="30"/>
      <c r="H25" s="30">
        <f>AVERAGE(E24:H24)</f>
      </c>
      <c r="I25" s="30">
        <f>AVERAGE(F24:I24)</f>
      </c>
      <c r="J25" s="30">
        <f>AVERAGE(G24:J24)</f>
      </c>
      <c r="K25" s="30">
        <f>AVERAGE(H24:K24)</f>
      </c>
      <c r="L25" s="30">
        <f>AVERAGE(I24:L24)</f>
      </c>
      <c r="M25" s="30">
        <f>AVERAGE(J24:M24)</f>
      </c>
      <c r="N25" s="30">
        <f>AVERAGE(K24:N24)</f>
      </c>
      <c r="O25" s="30">
        <f>AVERAGE(L24:O24)</f>
      </c>
      <c r="P25" s="30">
        <f>AVERAGE(M24:P24)</f>
      </c>
      <c r="Q25" s="30">
        <f>AVERAGE(N24:Q24)</f>
      </c>
      <c r="R25" s="30">
        <f>AVERAGE(O24:R24)</f>
      </c>
      <c r="S25" s="30">
        <f>AVERAGE(P24:S24)</f>
      </c>
      <c r="T25" s="30">
        <f>AVERAGE(Q24:T24)</f>
      </c>
      <c r="U25" s="30">
        <f>AVERAGE(R24:U24)</f>
      </c>
      <c r="V25">
        <f>AVERAGE(S24:V24)</f>
      </c>
      <c r="W25">
        <f>AVERAGE(T24:W24)</f>
      </c>
      <c r="X25">
        <f>AVERAGE(U24:X24)</f>
      </c>
      <c r="Y25">
        <f>AVERAGE(V24:Y24)</f>
      </c>
    </row>
    <row r="26" spans="1:24" x14ac:dyDescent="0.25">
      <c r="A26" s="27" t="s">
        <v>20</v>
      </c>
      <c r="B26" s="31">
        <v>7.28</v>
      </c>
      <c r="C26" s="31">
        <v>10.22</v>
      </c>
      <c r="D26" s="31">
        <v>12.63</v>
      </c>
      <c r="E26" s="31">
        <v>13.05</v>
      </c>
      <c r="F26" s="31">
        <v>15.28</v>
      </c>
      <c r="G26" s="31">
        <v>19.5</v>
      </c>
      <c r="H26" s="31">
        <v>24.94</v>
      </c>
      <c r="I26" s="31">
        <v>22.84</v>
      </c>
      <c r="J26" s="31">
        <v>19.78</v>
      </c>
      <c r="K26" s="31">
        <v>17.98</v>
      </c>
      <c r="L26" s="31">
        <v>13.83</v>
      </c>
      <c r="M26" s="31">
        <v>20.36</v>
      </c>
      <c r="N26" s="31">
        <v>27.75</v>
      </c>
      <c r="O26" s="31">
        <v>46.75</v>
      </c>
      <c r="P26" s="31">
        <v>40.5</v>
      </c>
      <c r="Q26" s="31">
        <v>61.03</v>
      </c>
      <c r="R26" s="31">
        <v>87.74</v>
      </c>
      <c r="S26" s="31">
        <v>113.06</v>
      </c>
      <c r="T26" s="31">
        <v>140.52</v>
      </c>
      <c r="U26" s="31">
        <v>128.99</v>
      </c>
      <c r="V26">
        <v>108.73</v>
      </c>
      <c r="W26">
        <v>176.75</v>
      </c>
      <c r="X26">
        <v>201.03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2026-02-18T02:22:33Z</dcterms:created>
  <dcterms:modified xsi:type="dcterms:W3CDTF">2026-02-18T02:22:33Z</dcterms:modified>
</cp:coreProperties>
</file>