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VDA業績" state="visible" r:id="rId4"/>
  </sheets>
  <calcPr calcId="171027"/>
</workbook>
</file>

<file path=xl/sharedStrings.xml><?xml version="1.0" encoding="utf-8"?>
<sst xmlns="http://schemas.openxmlformats.org/spreadsheetml/2006/main" count="33" uniqueCount="21">
  <si>
    <t>期間</t>
  </si>
  <si>
    <t>Q1</t>
  </si>
  <si>
    <t>Q2</t>
  </si>
  <si>
    <t>Q3</t>
  </si>
  <si>
    <t>Q4</t>
  </si>
  <si>
    <t>Q4予想</t>
  </si>
  <si>
    <t>売上高</t>
  </si>
  <si>
    <t>前期比</t>
  </si>
  <si>
    <t>前年比</t>
  </si>
  <si>
    <t>売上総利益（粗利）</t>
  </si>
  <si>
    <t>売上比</t>
  </si>
  <si>
    <t>研究開発費</t>
  </si>
  <si>
    <t>その他販管費</t>
  </si>
  <si>
    <t>販管費</t>
  </si>
  <si>
    <t>営業利益</t>
  </si>
  <si>
    <t>営業外収支</t>
  </si>
  <si>
    <t>当期純利益</t>
  </si>
  <si>
    <t>EPS</t>
  </si>
  <si>
    <t>PER</t>
  </si>
  <si>
    <t>PER4移動平均</t>
  </si>
  <si>
    <t>株価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</si>
</sst>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666666"/>
      <sz val="9"/>
    </font>
    <font>
      <sz val="10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2F7EE"/>
      </patternFill>
    </fill>
    <fill>
      <patternFill patternType="solid">
        <fgColor rgb="FFD6E4F0"/>
      </patternFill>
    </fill>
    <fill>
      <patternFill patternType="solid">
        <fgColor rgb="FFEBF1F8"/>
      </patternFill>
    </fill>
    <fill>
      <patternFill patternType="solid">
        <fgColor rgb="FFFCE4D6"/>
      </patternFill>
    </fill>
    <fill>
      <patternFill patternType="solid">
        <fgColor rgb="FFFDF2EC"/>
      </patternFill>
    </fill>
    <fill>
      <patternFill patternType="solid">
        <fgColor rgb="FFE2D9F0"/>
      </patternFill>
    </fill>
    <fill>
      <patternFill patternType="solid">
        <fgColor rgb="FFF0ECF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vertical="center" indent="1"/>
    </xf>
    <xf numFmtId="164" fontId="3" fillId="5" borderId="1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vertical="center" indent="1"/>
    </xf>
    <xf numFmtId="164" fontId="3" fillId="5" borderId="2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horizontal="right" vertical="center"/>
    </xf>
    <xf numFmtId="0" fontId="3" fillId="7" borderId="1" xfId="0" applyFont="1" applyFill="1" applyBorder="1" applyAlignment="1">
      <alignment vertical="center" indent="1"/>
    </xf>
    <xf numFmtId="164" fontId="3" fillId="7" borderId="1" xfId="0" applyNumberFormat="1" applyFont="1" applyFill="1" applyBorder="1" applyAlignment="1">
      <alignment horizontal="right" vertical="center"/>
    </xf>
    <xf numFmtId="0" fontId="3" fillId="7" borderId="2" xfId="0" applyFont="1" applyFill="1" applyBorder="1" applyAlignment="1">
      <alignment vertical="center" indent="1"/>
    </xf>
    <xf numFmtId="164" fontId="3" fillId="7" borderId="2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vertical="center"/>
    </xf>
    <xf numFmtId="3" fontId="4" fillId="8" borderId="1" xfId="0" applyNumberFormat="1" applyFont="1" applyFill="1" applyBorder="1" applyAlignment="1">
      <alignment horizontal="right" vertical="center"/>
    </xf>
    <xf numFmtId="0" fontId="3" fillId="9" borderId="2" xfId="0" applyFont="1" applyFill="1" applyBorder="1" applyAlignment="1">
      <alignment vertical="center" indent="1"/>
    </xf>
    <xf numFmtId="164" fontId="3" fillId="9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vertical="center" indent="1"/>
    </xf>
    <xf numFmtId="164" fontId="3" fillId="9" borderId="1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vertical="center"/>
    </xf>
    <xf numFmtId="3" fontId="4" fillId="6" borderId="2" xfId="0" applyNumberFormat="1" applyFont="1" applyFill="1" applyBorder="1" applyAlignment="1">
      <alignment horizontal="right" vertical="center"/>
    </xf>
    <xf numFmtId="0" fontId="4" fillId="10" borderId="2" xfId="0" applyFont="1" applyFill="1" applyBorder="1" applyAlignment="1">
      <alignment vertical="center"/>
    </xf>
    <xf numFmtId="2" fontId="4" fillId="10" borderId="2" xfId="0" applyNumberFormat="1" applyFont="1" applyFill="1" applyBorder="1" applyAlignment="1">
      <alignment horizontal="right" vertical="center"/>
    </xf>
    <xf numFmtId="0" fontId="4" fillId="10" borderId="1" xfId="0" applyFont="1" applyFill="1" applyBorder="1" applyAlignment="1">
      <alignment vertical="center"/>
    </xf>
    <xf numFmtId="165" fontId="4" fillId="10" borderId="1" xfId="0" applyNumberFormat="1" applyFont="1" applyFill="1" applyBorder="1" applyAlignment="1">
      <alignment horizontal="right" vertical="center"/>
    </xf>
    <xf numFmtId="0" fontId="3" fillId="11" borderId="2" xfId="0" applyFont="1" applyFill="1" applyBorder="1" applyAlignment="1">
      <alignment vertical="center" indent="1"/>
    </xf>
    <xf numFmtId="165" fontId="3" fillId="11" borderId="2" xfId="0" applyNumberFormat="1" applyFont="1" applyFill="1" applyBorder="1" applyAlignment="1">
      <alignment horizontal="right" vertical="center"/>
    </xf>
    <xf numFmtId="3" fontId="4" fillId="10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6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1" width="11" customWidth="1"/>
  </cols>
  <sheetData>
    <row r="1" ht="22" customHeight="1" spans="1:21" x14ac:dyDescent="0.25">
      <c r="A1" s="1"/>
      <c r="B1" s="1">
        <v>2025</v>
      </c>
      <c r="C1" s="1"/>
      <c r="D1" s="1"/>
      <c r="E1" s="1"/>
      <c r="F1" s="1">
        <v>2026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20" customHeight="1" spans="1:2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1</v>
      </c>
      <c r="G2" s="2" t="s">
        <v>2</v>
      </c>
      <c r="H2" s="2" t="s">
        <v>3</v>
      </c>
      <c r="I2" s="2" t="s">
        <v>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25">
      <c r="A3" s="3" t="s">
        <v>6</v>
      </c>
      <c r="B3" s="4">
        <v>26044</v>
      </c>
      <c r="C3" s="4">
        <v>30040</v>
      </c>
      <c r="D3" s="4">
        <v>35082</v>
      </c>
      <c r="E3" s="4">
        <v>39331</v>
      </c>
      <c r="F3" s="4">
        <v>44062</v>
      </c>
      <c r="G3" s="4">
        <v>46743</v>
      </c>
      <c r="H3" s="4">
        <v>57006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5">
      <c r="A4" s="5" t="s">
        <v>7</v>
      </c>
      <c r="B4" s="6"/>
      <c r="C4" s="6">
        <f>C3/B3</f>
      </c>
      <c r="D4" s="6">
        <f>D3/C3</f>
      </c>
      <c r="E4" s="6">
        <f>E3/D3</f>
      </c>
      <c r="F4" s="6">
        <f>F3/E3</f>
      </c>
      <c r="G4" s="6">
        <f>G3/F3</f>
      </c>
      <c r="H4" s="6">
        <f>H3/G3</f>
      </c>
      <c r="I4" s="6">
        <f>I3/H3</f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1" x14ac:dyDescent="0.25">
      <c r="A5" s="7" t="s">
        <v>8</v>
      </c>
      <c r="B5" s="8"/>
      <c r="C5" s="8"/>
      <c r="D5" s="8"/>
      <c r="E5" s="8"/>
      <c r="F5" s="8">
        <f>B3/F3</f>
      </c>
      <c r="G5" s="8">
        <f>C3/G3</f>
      </c>
      <c r="H5" s="8">
        <f>D3/H3</f>
      </c>
      <c r="I5" s="8">
        <f>E3/I3</f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x14ac:dyDescent="0.25">
      <c r="A6" s="9" t="s">
        <v>9</v>
      </c>
      <c r="B6" s="10">
        <v>20406</v>
      </c>
      <c r="C6" s="10">
        <v>22574</v>
      </c>
      <c r="D6" s="10">
        <v>26156</v>
      </c>
      <c r="E6" s="10">
        <v>28723</v>
      </c>
      <c r="F6" s="10">
        <v>26668</v>
      </c>
      <c r="G6" s="10">
        <v>33853</v>
      </c>
      <c r="H6" s="10">
        <v>41849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</row>
    <row r="7" spans="1:21" x14ac:dyDescent="0.25">
      <c r="A7" s="11" t="s">
        <v>10</v>
      </c>
      <c r="B7" s="12">
        <f>B6/B$3</f>
      </c>
      <c r="C7" s="12">
        <f>C6/C$3</f>
      </c>
      <c r="D7" s="12">
        <f>D6/D$3</f>
      </c>
      <c r="E7" s="12">
        <f>E6/E$3</f>
      </c>
      <c r="F7" s="12">
        <f>F6/F$3</f>
      </c>
      <c r="G7" s="12">
        <f>G6/G$3</f>
      </c>
      <c r="H7" s="12">
        <f>H6/H$3</f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13" t="s">
        <v>8</v>
      </c>
      <c r="B8" s="14"/>
      <c r="C8" s="14"/>
      <c r="D8" s="14"/>
      <c r="E8" s="14"/>
      <c r="F8" s="14">
        <f>F6/B6</f>
      </c>
      <c r="G8" s="14">
        <f>G6/C6</f>
      </c>
      <c r="H8" s="14">
        <f>H6/D6</f>
      </c>
      <c r="I8" s="14">
        <f>I6/E6</f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</row>
    <row r="9" spans="1:21" x14ac:dyDescent="0.25">
      <c r="A9" s="15" t="s">
        <v>11</v>
      </c>
      <c r="B9" s="16">
        <v>2720</v>
      </c>
      <c r="C9" s="16">
        <v>3090</v>
      </c>
      <c r="D9" s="16">
        <v>3390</v>
      </c>
      <c r="E9" s="16">
        <v>3714</v>
      </c>
      <c r="F9" s="16">
        <v>3989</v>
      </c>
      <c r="G9" s="16">
        <v>4291</v>
      </c>
      <c r="H9" s="16">
        <v>4705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</row>
    <row r="10" spans="1:21" x14ac:dyDescent="0.25">
      <c r="A10" s="17" t="s">
        <v>10</v>
      </c>
      <c r="B10" s="18">
        <f>B9/B$3</f>
      </c>
      <c r="C10" s="18">
        <f>C9/C$3</f>
      </c>
      <c r="D10" s="18">
        <f>D9/D$3</f>
      </c>
      <c r="E10" s="18">
        <f>E9/E$3</f>
      </c>
      <c r="F10" s="18">
        <f>F9/F$3</f>
      </c>
      <c r="G10" s="18">
        <f>G9/G$3</f>
      </c>
      <c r="H10" s="18">
        <f>H9/H$3</f>
      </c>
      <c r="I10" s="18">
        <f>I9/I$3</f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</row>
    <row r="11" spans="1:21" x14ac:dyDescent="0.25">
      <c r="A11" s="15" t="s">
        <v>12</v>
      </c>
      <c r="B11" s="16">
        <v>777</v>
      </c>
      <c r="C11" s="16">
        <v>842</v>
      </c>
      <c r="D11" s="16">
        <v>897</v>
      </c>
      <c r="E11" s="16">
        <v>975</v>
      </c>
      <c r="F11" s="16">
        <v>1041</v>
      </c>
      <c r="G11" s="16">
        <v>1122</v>
      </c>
      <c r="H11" s="16">
        <v>1134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</row>
    <row r="12" spans="1:21" x14ac:dyDescent="0.25">
      <c r="A12" s="17" t="s">
        <v>10</v>
      </c>
      <c r="B12" s="18">
        <f>B11/B$3</f>
      </c>
      <c r="C12" s="18">
        <f>C11/C$3</f>
      </c>
      <c r="D12" s="18">
        <f>D11/D$3</f>
      </c>
      <c r="E12" s="18">
        <f>E11/E$3</f>
      </c>
      <c r="F12" s="18">
        <f>F11/F$3</f>
      </c>
      <c r="G12" s="18">
        <f>G11/G$3</f>
      </c>
      <c r="H12" s="18">
        <f>H11/H$3</f>
      </c>
      <c r="I12" s="18">
        <f>I11/I$3</f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</row>
    <row r="13" spans="1:21" x14ac:dyDescent="0.25">
      <c r="A13" s="19" t="s">
        <v>13</v>
      </c>
      <c r="B13" s="20">
        <v>3497</v>
      </c>
      <c r="C13" s="20">
        <v>3932</v>
      </c>
      <c r="D13" s="20">
        <v>4287</v>
      </c>
      <c r="E13" s="20">
        <v>4689</v>
      </c>
      <c r="F13" s="20">
        <v>5030</v>
      </c>
      <c r="G13" s="20">
        <v>5413</v>
      </c>
      <c r="H13" s="20">
        <v>5839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</row>
    <row r="14" spans="1:21" x14ac:dyDescent="0.25">
      <c r="A14" s="21" t="s">
        <v>10</v>
      </c>
      <c r="B14" s="22">
        <f>B13/B$3</f>
      </c>
      <c r="C14" s="22">
        <f>C13/C$3</f>
      </c>
      <c r="D14" s="22">
        <f>D13/D$3</f>
      </c>
      <c r="E14" s="22">
        <f>E13/E$3</f>
      </c>
      <c r="F14" s="22">
        <f>F13/F$3</f>
      </c>
      <c r="G14" s="22">
        <f>G13/G$3</f>
      </c>
      <c r="H14" s="22">
        <f>H13/H$3</f>
      </c>
      <c r="I14" s="22">
        <f>I13/I$3</f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</row>
    <row r="15" spans="1:21" x14ac:dyDescent="0.25">
      <c r="A15" s="17" t="s">
        <v>8</v>
      </c>
      <c r="B15" s="18"/>
      <c r="C15" s="18"/>
      <c r="D15" s="18"/>
      <c r="E15" s="18"/>
      <c r="F15" s="18">
        <f>F13/B13</f>
      </c>
      <c r="G15" s="18">
        <f>G13/C13</f>
      </c>
      <c r="H15" s="18">
        <f>H13/D13</f>
      </c>
      <c r="I15" s="18">
        <f>I13/E13</f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</row>
    <row r="16" spans="1:21" x14ac:dyDescent="0.25">
      <c r="A16" s="9" t="s">
        <v>14</v>
      </c>
      <c r="B16" s="10">
        <v>16909</v>
      </c>
      <c r="C16" s="10">
        <v>18642</v>
      </c>
      <c r="D16" s="10">
        <v>21869</v>
      </c>
      <c r="E16" s="10">
        <v>24034</v>
      </c>
      <c r="F16" s="10">
        <v>21638</v>
      </c>
      <c r="G16" s="10">
        <v>28440</v>
      </c>
      <c r="H16" s="10">
        <v>36010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x14ac:dyDescent="0.25">
      <c r="A17" s="11" t="s">
        <v>10</v>
      </c>
      <c r="B17" s="12">
        <f>B16/B$3</f>
      </c>
      <c r="C17" s="12">
        <f>C16/C$3</f>
      </c>
      <c r="D17" s="12">
        <f>D16/D$3</f>
      </c>
      <c r="E17" s="12">
        <f>E16/E$3</f>
      </c>
      <c r="F17" s="12">
        <f>F16/F$3</f>
      </c>
      <c r="G17" s="12">
        <f>G16/G$3</f>
      </c>
      <c r="H17" s="12">
        <f>H16/H$3</f>
      </c>
      <c r="I17" s="12">
        <f>I16/I$3</f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13" t="s">
        <v>8</v>
      </c>
      <c r="B18" s="14"/>
      <c r="C18" s="14"/>
      <c r="D18" s="14"/>
      <c r="E18" s="14"/>
      <c r="F18" s="14">
        <f>F16/B16-1</f>
      </c>
      <c r="G18" s="14">
        <f>G16/C16-1</f>
      </c>
      <c r="H18" s="14">
        <f>H16/D16-1</f>
      </c>
      <c r="I18" s="14">
        <f>I16/E16-1</f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</row>
    <row r="19" spans="1:21" x14ac:dyDescent="0.25">
      <c r="A19" s="23" t="s">
        <v>15</v>
      </c>
      <c r="B19" s="24">
        <v>370</v>
      </c>
      <c r="C19" s="24">
        <v>572</v>
      </c>
      <c r="D19" s="24">
        <v>447</v>
      </c>
      <c r="E19" s="24">
        <v>1183</v>
      </c>
      <c r="F19" s="24">
        <v>272</v>
      </c>
      <c r="G19" s="24">
        <v>2766</v>
      </c>
      <c r="H19" s="24">
        <v>1926</v>
      </c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spans="1:21" x14ac:dyDescent="0.25">
      <c r="A20" s="9" t="s">
        <v>16</v>
      </c>
      <c r="B20" s="10">
        <v>14881</v>
      </c>
      <c r="C20" s="10">
        <v>16599</v>
      </c>
      <c r="D20" s="10">
        <v>19309</v>
      </c>
      <c r="E20" s="10">
        <v>22091</v>
      </c>
      <c r="F20" s="10">
        <v>18775</v>
      </c>
      <c r="G20" s="10">
        <v>26422</v>
      </c>
      <c r="H20" s="10">
        <v>31910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x14ac:dyDescent="0.25">
      <c r="A21" s="11" t="s">
        <v>10</v>
      </c>
      <c r="B21" s="12">
        <f>B20/B$3</f>
      </c>
      <c r="C21" s="12">
        <f>C20/C$3</f>
      </c>
      <c r="D21" s="12">
        <f>D20/D$3</f>
      </c>
      <c r="E21" s="12">
        <f>E20/E$3</f>
      </c>
      <c r="F21" s="12">
        <f>F20/F$3</f>
      </c>
      <c r="G21" s="12">
        <f>G20/G$3</f>
      </c>
      <c r="H21" s="12">
        <f>H20/H$3</f>
      </c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 spans="1:21" x14ac:dyDescent="0.25">
      <c r="A22" s="13" t="s">
        <v>8</v>
      </c>
      <c r="B22" s="14"/>
      <c r="C22" s="14"/>
      <c r="D22" s="14"/>
      <c r="E22" s="14"/>
      <c r="F22" s="14">
        <f>F20/B20-1</f>
      </c>
      <c r="G22" s="14">
        <f>G20/C20-1</f>
      </c>
      <c r="H22" s="14">
        <f>H20/D20-1</f>
      </c>
      <c r="I22" s="14">
        <f>I20/E20-1</f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</row>
    <row r="23" spans="1:21" x14ac:dyDescent="0.25">
      <c r="A23" s="25" t="s">
        <v>17</v>
      </c>
      <c r="B23" s="26">
        <v>0.6</v>
      </c>
      <c r="C23" s="26">
        <v>0.67</v>
      </c>
      <c r="D23" s="26">
        <v>0.78</v>
      </c>
      <c r="E23" s="26">
        <v>0.89</v>
      </c>
      <c r="F23" s="26">
        <v>0.76</v>
      </c>
      <c r="G23" s="26">
        <v>1.08</v>
      </c>
      <c r="H23" s="26">
        <v>1.3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 x14ac:dyDescent="0.25">
      <c r="A24" s="27" t="s">
        <v>18</v>
      </c>
      <c r="B24" s="28"/>
      <c r="C24" s="28"/>
      <c r="D24" s="28"/>
      <c r="E24" s="28">
        <f>E26/SUM(B23:E23)</f>
      </c>
      <c r="F24" s="28">
        <f>F26/SUM(C23:F23)</f>
      </c>
      <c r="G24" s="28">
        <f>G26/SUM(D23:G23)</f>
      </c>
      <c r="H24" s="28">
        <f>H26/SUM(E23:H23)</f>
      </c>
      <c r="I24" s="28">
        <f>I26/SUM(F23:I23)</f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</row>
    <row r="25" spans="1:21" x14ac:dyDescent="0.25">
      <c r="A25" s="29" t="s">
        <v>19</v>
      </c>
      <c r="B25" s="30"/>
      <c r="C25" s="30"/>
      <c r="D25" s="30"/>
      <c r="E25" s="30"/>
      <c r="F25" s="30"/>
      <c r="G25" s="30"/>
      <c r="H25" s="30">
        <f>AVERAGE(E24:H24)</f>
      </c>
      <c r="I25" s="30">
        <f>AVERAGE(F24:I24)</f>
      </c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</row>
    <row r="26" spans="1:21" x14ac:dyDescent="0.25">
      <c r="A26" s="27" t="s">
        <v>20</v>
      </c>
      <c r="B26" s="31">
        <v>87.74</v>
      </c>
      <c r="C26" s="31">
        <v>113.06</v>
      </c>
      <c r="D26" s="31">
        <v>140.52</v>
      </c>
      <c r="E26" s="31">
        <v>128.99</v>
      </c>
      <c r="F26" s="31">
        <v>108.73</v>
      </c>
      <c r="G26" s="31">
        <v>176.75</v>
      </c>
      <c r="H26" s="31">
        <v>201.03</v>
      </c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NVDA業績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2026-02-18T02:22:33Z</dcterms:created>
  <dcterms:modified xsi:type="dcterms:W3CDTF">2026-02-18T02:22:33Z</dcterms:modified>
</cp:coreProperties>
</file>