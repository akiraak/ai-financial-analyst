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TR業績" state="visible" r:id="rId4"/>
  </sheets>
  <calcPr calcId="171027"/>
</workbook>
</file>

<file path=xl/sharedStrings.xml><?xml version="1.0" encoding="utf-8"?>
<sst xmlns="http://schemas.openxmlformats.org/spreadsheetml/2006/main" count="48" uniqueCount="29">
  <si>
    <t/>
  </si>
  <si>
    <t>Q3</t>
  </si>
  <si>
    <t>Q4</t>
  </si>
  <si>
    <t>Q1</t>
  </si>
  <si>
    <t>Q2</t>
  </si>
  <si>
    <t>売上高</t>
  </si>
  <si>
    <t>QoQ</t>
  </si>
  <si>
    <t>前年同期比</t>
  </si>
  <si>
    <t>粗利益</t>
  </si>
  <si>
    <t>粗利率</t>
  </si>
  <si>
    <t>粗利YoY</t>
  </si>
  <si>
    <t>R&amp;D</t>
  </si>
  <si>
    <t>R&amp;D比率</t>
  </si>
  <si>
    <t>販管費(S&amp;M+G&amp;A)</t>
  </si>
  <si>
    <t>販管費比率</t>
  </si>
  <si>
    <t>営業費用合計</t>
  </si>
  <si>
    <t>営業費用比率</t>
  </si>
  <si>
    <t>営業費用YoY</t>
  </si>
  <si>
    <t>営業利益</t>
  </si>
  <si>
    <t>営業利益率</t>
  </si>
  <si>
    <t>営業利益YoY</t>
  </si>
  <si>
    <t>営業外収支</t>
  </si>
  <si>
    <t>純利益</t>
  </si>
  <si>
    <t>純利益率</t>
  </si>
  <si>
    <t>純利益YoY</t>
  </si>
  <si>
    <t>EPS (希薄化後)</t>
  </si>
  <si>
    <t>PER (直近4Q)</t>
  </si>
  <si>
    <t>PER (4Q平均)</t>
  </si>
  <si>
    <t>株価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</si>
</sst>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FormatPr defaultRowHeight="15" outlineLevelRow="0" outlineLevelCol="0" x14ac:dyDescent="55"/>
  <cols>
    <col min="1" max="1" width="18" customWidth="1"/>
  </cols>
  <sheetData>
    <row r="1" spans="1:20" x14ac:dyDescent="0.25">
      <c r="A1" t="s">
        <v>0</v>
      </c>
      <c r="B1">
        <v>2020</v>
      </c>
      <c r="D1">
        <v>2021</v>
      </c>
      <c r="H1">
        <v>2022</v>
      </c>
      <c r="L1">
        <v>2023</v>
      </c>
      <c r="P1">
        <v>2024</v>
      </c>
      <c r="T1">
        <v>2025</v>
      </c>
    </row>
    <row r="2" spans="1:2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</v>
      </c>
      <c r="G2" t="s">
        <v>2</v>
      </c>
      <c r="H2" t="s">
        <v>3</v>
      </c>
      <c r="I2" t="s">
        <v>4</v>
      </c>
      <c r="J2" t="s">
        <v>1</v>
      </c>
      <c r="K2" t="s">
        <v>2</v>
      </c>
      <c r="L2" t="s">
        <v>3</v>
      </c>
      <c r="M2" t="s">
        <v>4</v>
      </c>
      <c r="N2" t="s">
        <v>1</v>
      </c>
      <c r="O2" t="s">
        <v>2</v>
      </c>
      <c r="P2" t="s">
        <v>3</v>
      </c>
      <c r="Q2" t="s">
        <v>4</v>
      </c>
      <c r="R2" t="s">
        <v>1</v>
      </c>
      <c r="S2" t="s">
        <v>2</v>
      </c>
      <c r="T2" t="s">
        <v>3</v>
      </c>
      <c r="U2" t="s">
        <v>4</v>
      </c>
      <c r="V2" t="s">
        <v>1</v>
      </c>
      <c r="W2" t="s">
        <v>2</v>
      </c>
    </row>
    <row r="3" spans="1:23" x14ac:dyDescent="0.25">
      <c r="A3" t="s">
        <v>5</v>
      </c>
      <c r="B3">
        <v>289366</v>
      </c>
      <c r="C3">
        <v>322091</v>
      </c>
      <c r="D3">
        <v>341234</v>
      </c>
      <c r="E3">
        <v>375642</v>
      </c>
      <c r="F3">
        <v>392146</v>
      </c>
      <c r="G3">
        <v>432867</v>
      </c>
      <c r="H3">
        <v>446357</v>
      </c>
      <c r="I3">
        <v>473010</v>
      </c>
      <c r="J3">
        <v>477880</v>
      </c>
      <c r="K3">
        <v>508624</v>
      </c>
      <c r="L3">
        <v>525186</v>
      </c>
      <c r="M3">
        <v>533317</v>
      </c>
      <c r="N3">
        <v>558159</v>
      </c>
      <c r="O3">
        <v>608350</v>
      </c>
      <c r="P3">
        <v>634338</v>
      </c>
      <c r="Q3">
        <v>678134</v>
      </c>
      <c r="R3">
        <v>725516</v>
      </c>
      <c r="S3">
        <v>827519</v>
      </c>
      <c r="T3">
        <v>883855</v>
      </c>
      <c r="U3">
        <v>1003697</v>
      </c>
      <c r="V3">
        <v>1181092</v>
      </c>
      <c r="W3">
        <v>1406802</v>
      </c>
    </row>
    <row r="4" spans="1:23" x14ac:dyDescent="0.25">
      <c r="A4" t="s">
        <v>6</v>
      </c>
      <c r="C4">
        <f>C3/B3-1</f>
      </c>
      <c r="D4">
        <f>D3/C3-1</f>
      </c>
      <c r="E4">
        <f>E3/D3-1</f>
      </c>
      <c r="F4">
        <f>F3/E3-1</f>
      </c>
      <c r="G4">
        <f>G3/F3-1</f>
      </c>
      <c r="H4">
        <f>H3/G3-1</f>
      </c>
      <c r="I4">
        <f>I3/H3-1</f>
      </c>
      <c r="J4">
        <f>J3/I3-1</f>
      </c>
      <c r="K4">
        <f>K3/J3-1</f>
      </c>
      <c r="L4">
        <f>L3/K3-1</f>
      </c>
      <c r="M4">
        <f>M3/L3-1</f>
      </c>
      <c r="N4">
        <f>N3/M3-1</f>
      </c>
      <c r="O4">
        <f>O3/N3-1</f>
      </c>
      <c r="P4">
        <f>P3/O3-1</f>
      </c>
      <c r="Q4">
        <f>Q3/P3-1</f>
      </c>
      <c r="R4">
        <f>R3/Q3-1</f>
      </c>
      <c r="S4">
        <f>S3/R3-1</f>
      </c>
      <c r="T4">
        <f>T3/S3-1</f>
      </c>
      <c r="U4">
        <f>U3/T3-1</f>
      </c>
      <c r="V4">
        <f>V3/U3-1</f>
      </c>
      <c r="W4">
        <f>W3/V3-1</f>
      </c>
    </row>
    <row r="5" spans="1:23" x14ac:dyDescent="0.25">
      <c r="A5" t="s">
        <v>7</v>
      </c>
      <c r="F5">
        <f>F3/B3-1</f>
      </c>
      <c r="G5">
        <f>G3/C3-1</f>
      </c>
      <c r="H5">
        <f>H3/D3-1</f>
      </c>
      <c r="I5">
        <f>I3/E3-1</f>
      </c>
      <c r="J5">
        <f>J3/F3-1</f>
      </c>
      <c r="K5">
        <f>K3/G3-1</f>
      </c>
      <c r="L5">
        <f>L3/H3-1</f>
      </c>
      <c r="M5">
        <f>M3/I3-1</f>
      </c>
      <c r="N5">
        <f>N3/J3-1</f>
      </c>
      <c r="O5">
        <f>O3/K3-1</f>
      </c>
      <c r="P5">
        <f>P3/L3-1</f>
      </c>
      <c r="Q5">
        <f>Q3/M3-1</f>
      </c>
      <c r="R5">
        <f>R3/N3-1</f>
      </c>
      <c r="S5">
        <f>S3/O3-1</f>
      </c>
      <c r="T5">
        <f>T3/P3-1</f>
      </c>
      <c r="U5">
        <f>U3/Q3-1</f>
      </c>
      <c r="V5">
        <f>V3/R3-1</f>
      </c>
      <c r="W5">
        <f>W3/S3-1</f>
      </c>
    </row>
    <row r="6" spans="1:23" x14ac:dyDescent="0.25">
      <c r="A6" t="s">
        <v>8</v>
      </c>
      <c r="B6">
        <v>140026</v>
      </c>
      <c r="C6">
        <v>251588</v>
      </c>
      <c r="D6">
        <v>267123</v>
      </c>
      <c r="E6">
        <v>284716</v>
      </c>
      <c r="F6">
        <v>305342</v>
      </c>
      <c r="G6">
        <v>345304</v>
      </c>
      <c r="H6">
        <v>351954</v>
      </c>
      <c r="I6">
        <v>370786</v>
      </c>
      <c r="J6">
        <v>370269</v>
      </c>
      <c r="K6">
        <v>404313</v>
      </c>
      <c r="L6">
        <v>417541</v>
      </c>
      <c r="M6">
        <v>426418</v>
      </c>
      <c r="N6">
        <v>450237</v>
      </c>
      <c r="O6">
        <v>499711</v>
      </c>
      <c r="P6">
        <v>518082</v>
      </c>
      <c r="Q6">
        <v>549572</v>
      </c>
      <c r="R6">
        <v>578877</v>
      </c>
      <c r="S6">
        <v>652986</v>
      </c>
      <c r="T6">
        <v>710885</v>
      </c>
      <c r="U6">
        <v>810763</v>
      </c>
      <c r="V6">
        <v>973785</v>
      </c>
      <c r="W6">
        <v>1190836</v>
      </c>
    </row>
    <row r="7" spans="1:23" x14ac:dyDescent="0.25">
      <c r="A7" t="s">
        <v>9</v>
      </c>
      <c r="B7">
        <f>B6/B$3</f>
      </c>
      <c r="C7">
        <f>C6/C$3</f>
      </c>
      <c r="D7">
        <f>D6/D$3</f>
      </c>
      <c r="E7">
        <f>E6/E$3</f>
      </c>
      <c r="F7">
        <f>F6/F$3</f>
      </c>
      <c r="G7">
        <f>G6/G$3</f>
      </c>
      <c r="H7">
        <f>H6/H$3</f>
      </c>
      <c r="I7">
        <f>I6/I$3</f>
      </c>
      <c r="J7">
        <f>J6/J$3</f>
      </c>
      <c r="K7">
        <f>K6/K$3</f>
      </c>
      <c r="L7">
        <f>L6/L$3</f>
      </c>
      <c r="M7">
        <f>M6/M$3</f>
      </c>
      <c r="N7">
        <f>N6/N$3</f>
      </c>
      <c r="O7">
        <f>O6/O$3</f>
      </c>
      <c r="P7">
        <f>P6/P$3</f>
      </c>
      <c r="Q7">
        <f>Q6/Q$3</f>
      </c>
      <c r="R7">
        <f>R6/R$3</f>
      </c>
      <c r="S7">
        <f>S6/S$3</f>
      </c>
      <c r="T7">
        <f>T6/T$3</f>
      </c>
      <c r="U7">
        <f>U6/U$3</f>
      </c>
      <c r="V7">
        <f>V6/V$3</f>
      </c>
      <c r="W7">
        <f>W6/W$3</f>
      </c>
    </row>
    <row r="8" spans="1:23" x14ac:dyDescent="0.25">
      <c r="A8" t="s">
        <v>10</v>
      </c>
      <c r="F8">
        <f>F6/B6-1</f>
      </c>
      <c r="G8">
        <f>G6/C6-1</f>
      </c>
      <c r="H8">
        <f>H6/D6-1</f>
      </c>
      <c r="I8">
        <f>I6/E6-1</f>
      </c>
      <c r="J8">
        <f>J6/F6-1</f>
      </c>
      <c r="K8">
        <f>K6/G6-1</f>
      </c>
      <c r="L8">
        <f>L6/H6-1</f>
      </c>
      <c r="M8">
        <f>M6/I6-1</f>
      </c>
      <c r="N8">
        <f>N6/J6-1</f>
      </c>
      <c r="O8">
        <f>O6/K6-1</f>
      </c>
      <c r="P8">
        <f>P6/L6-1</f>
      </c>
      <c r="Q8">
        <f>Q6/M6-1</f>
      </c>
      <c r="R8">
        <f>R6/N6-1</f>
      </c>
      <c r="S8">
        <f>S6/O6-1</f>
      </c>
      <c r="T8">
        <f>T6/P6-1</f>
      </c>
      <c r="U8">
        <f>U6/Q6-1</f>
      </c>
      <c r="V8">
        <f>V6/R6-1</f>
      </c>
      <c r="W8">
        <f>W6/S6-1</f>
      </c>
    </row>
    <row r="9" spans="1:23" x14ac:dyDescent="0.25">
      <c r="A9" t="s">
        <v>11</v>
      </c>
      <c r="B9">
        <v>313915</v>
      </c>
      <c r="C9">
        <v>94130</v>
      </c>
      <c r="D9">
        <v>98471</v>
      </c>
      <c r="E9">
        <v>110524</v>
      </c>
      <c r="F9">
        <v>94316</v>
      </c>
      <c r="G9">
        <v>84176</v>
      </c>
      <c r="H9">
        <v>88601</v>
      </c>
      <c r="I9">
        <v>88171</v>
      </c>
      <c r="J9">
        <v>100863</v>
      </c>
      <c r="K9">
        <v>82044</v>
      </c>
      <c r="L9">
        <v>90100</v>
      </c>
      <c r="M9">
        <v>99533</v>
      </c>
      <c r="N9">
        <v>105708</v>
      </c>
      <c r="O9">
        <v>109283</v>
      </c>
      <c r="P9">
        <v>110040</v>
      </c>
      <c r="Q9">
        <v>108781</v>
      </c>
      <c r="R9">
        <v>117555</v>
      </c>
      <c r="S9">
        <v>171502</v>
      </c>
      <c r="T9">
        <v>134889</v>
      </c>
      <c r="U9">
        <v>135043</v>
      </c>
      <c r="V9">
        <v>144191</v>
      </c>
      <c r="W9">
        <v>143554</v>
      </c>
    </row>
    <row r="10" spans="1:23" x14ac:dyDescent="0.25">
      <c r="A10" t="s">
        <v>12</v>
      </c>
      <c r="B10">
        <f>B9/B$3</f>
      </c>
      <c r="C10">
        <f>C9/C$3</f>
      </c>
      <c r="D10">
        <f>D9/D$3</f>
      </c>
      <c r="E10">
        <f>E9/E$3</f>
      </c>
      <c r="F10">
        <f>F9/F$3</f>
      </c>
      <c r="G10">
        <f>G9/G$3</f>
      </c>
      <c r="H10">
        <f>H9/H$3</f>
      </c>
      <c r="I10">
        <f>I9/I$3</f>
      </c>
      <c r="J10">
        <f>J9/J$3</f>
      </c>
      <c r="K10">
        <f>K9/K$3</f>
      </c>
      <c r="L10">
        <f>L9/L$3</f>
      </c>
      <c r="M10">
        <f>M9/M$3</f>
      </c>
      <c r="N10">
        <f>N9/N$3</f>
      </c>
      <c r="O10">
        <f>O9/O$3</f>
      </c>
      <c r="P10">
        <f>P9/P$3</f>
      </c>
      <c r="Q10">
        <f>Q9/Q$3</f>
      </c>
      <c r="R10">
        <f>R9/R$3</f>
      </c>
      <c r="S10">
        <f>S9/S$3</f>
      </c>
      <c r="T10">
        <f>T9/T$3</f>
      </c>
      <c r="U10">
        <f>U9/U$3</f>
      </c>
      <c r="V10">
        <f>V9/V$3</f>
      </c>
      <c r="W10">
        <f>W9/W$3</f>
      </c>
    </row>
    <row r="11" spans="1:23" x14ac:dyDescent="0.25">
      <c r="A11" t="s">
        <v>13</v>
      </c>
      <c r="B11">
        <v>673888</v>
      </c>
      <c r="C11">
        <v>314030</v>
      </c>
      <c r="D11">
        <v>282666</v>
      </c>
      <c r="E11">
        <v>320340</v>
      </c>
      <c r="F11">
        <v>302967</v>
      </c>
      <c r="G11">
        <v>320071</v>
      </c>
      <c r="H11">
        <v>302792</v>
      </c>
      <c r="I11">
        <v>324360</v>
      </c>
      <c r="J11">
        <v>331597</v>
      </c>
      <c r="K11">
        <v>340095</v>
      </c>
      <c r="L11">
        <v>323326</v>
      </c>
      <c r="M11">
        <v>316811</v>
      </c>
      <c r="N11">
        <v>304546</v>
      </c>
      <c r="O11">
        <v>324634</v>
      </c>
      <c r="P11">
        <v>327161</v>
      </c>
      <c r="Q11">
        <v>335452</v>
      </c>
      <c r="R11">
        <v>348182</v>
      </c>
      <c r="S11">
        <v>470441</v>
      </c>
      <c r="T11">
        <v>399948</v>
      </c>
      <c r="U11">
        <v>406403</v>
      </c>
      <c r="V11">
        <v>436338</v>
      </c>
      <c r="W11">
        <v>471888</v>
      </c>
    </row>
    <row r="12" spans="1:23" x14ac:dyDescent="0.25">
      <c r="A12" t="s">
        <v>14</v>
      </c>
      <c r="B12">
        <f>B11/B$3</f>
      </c>
      <c r="C12">
        <f>C11/C$3</f>
      </c>
      <c r="D12">
        <f>D11/D$3</f>
      </c>
      <c r="E12">
        <f>E11/E$3</f>
      </c>
      <c r="F12">
        <f>F11/F$3</f>
      </c>
      <c r="G12">
        <f>G11/G$3</f>
      </c>
      <c r="H12">
        <f>H11/H$3</f>
      </c>
      <c r="I12">
        <f>I11/I$3</f>
      </c>
      <c r="J12">
        <f>J11/J$3</f>
      </c>
      <c r="K12">
        <f>K11/K$3</f>
      </c>
      <c r="L12">
        <f>L11/L$3</f>
      </c>
      <c r="M12">
        <f>M11/M$3</f>
      </c>
      <c r="N12">
        <f>N11/N$3</f>
      </c>
      <c r="O12">
        <f>O11/O$3</f>
      </c>
      <c r="P12">
        <f>P11/P$3</f>
      </c>
      <c r="Q12">
        <f>Q11/Q$3</f>
      </c>
      <c r="R12">
        <f>R11/R$3</f>
      </c>
      <c r="S12">
        <f>S11/S$3</f>
      </c>
      <c r="T12">
        <f>T11/T$3</f>
      </c>
      <c r="U12">
        <f>U11/U$3</f>
      </c>
      <c r="V12">
        <f>V11/V$3</f>
      </c>
      <c r="W12">
        <f>W11/W$3</f>
      </c>
    </row>
    <row r="13" spans="1:23" x14ac:dyDescent="0.25">
      <c r="A13" t="s">
        <v>15</v>
      </c>
      <c r="B13">
        <v>987803</v>
      </c>
      <c r="C13">
        <v>408160</v>
      </c>
      <c r="D13">
        <v>381137</v>
      </c>
      <c r="E13">
        <v>430864</v>
      </c>
      <c r="F13">
        <v>397283</v>
      </c>
      <c r="G13">
        <v>404247</v>
      </c>
      <c r="H13">
        <v>391393</v>
      </c>
      <c r="I13">
        <v>412531</v>
      </c>
      <c r="J13">
        <v>432460</v>
      </c>
      <c r="K13">
        <v>422139</v>
      </c>
      <c r="L13">
        <v>413426</v>
      </c>
      <c r="M13">
        <v>416344</v>
      </c>
      <c r="N13">
        <v>410254</v>
      </c>
      <c r="O13">
        <v>433917</v>
      </c>
      <c r="P13">
        <v>437201</v>
      </c>
      <c r="Q13">
        <v>444233</v>
      </c>
      <c r="R13">
        <v>465737</v>
      </c>
      <c r="S13">
        <v>641943</v>
      </c>
      <c r="T13">
        <v>534837</v>
      </c>
      <c r="U13">
        <v>541446</v>
      </c>
      <c r="V13">
        <v>580529</v>
      </c>
      <c r="W13">
        <v>615442</v>
      </c>
    </row>
    <row r="14" spans="1:23" x14ac:dyDescent="0.25">
      <c r="A14" t="s">
        <v>16</v>
      </c>
      <c r="B14">
        <f>B13/B$3</f>
      </c>
      <c r="C14">
        <f>C13/C$3</f>
      </c>
      <c r="D14">
        <f>D13/D$3</f>
      </c>
      <c r="E14">
        <f>E13/E$3</f>
      </c>
      <c r="F14">
        <f>F13/F$3</f>
      </c>
      <c r="G14">
        <f>G13/G$3</f>
      </c>
      <c r="H14">
        <f>H13/H$3</f>
      </c>
      <c r="I14">
        <f>I13/I$3</f>
      </c>
      <c r="J14">
        <f>J13/J$3</f>
      </c>
      <c r="K14">
        <f>K13/K$3</f>
      </c>
      <c r="L14">
        <f>L13/L$3</f>
      </c>
      <c r="M14">
        <f>M13/M$3</f>
      </c>
      <c r="N14">
        <f>N13/N$3</f>
      </c>
      <c r="O14">
        <f>O13/O$3</f>
      </c>
      <c r="P14">
        <f>P13/P$3</f>
      </c>
      <c r="Q14">
        <f>Q13/Q$3</f>
      </c>
      <c r="R14">
        <f>R13/R$3</f>
      </c>
      <c r="S14">
        <f>S13/S$3</f>
      </c>
      <c r="T14">
        <f>T13/T$3</f>
      </c>
      <c r="U14">
        <f>U13/U$3</f>
      </c>
      <c r="V14">
        <f>V13/V$3</f>
      </c>
      <c r="W14">
        <f>W13/W$3</f>
      </c>
    </row>
    <row r="15" spans="1:23" x14ac:dyDescent="0.25">
      <c r="A15" t="s">
        <v>17</v>
      </c>
      <c r="F15">
        <f>F13/B13-1</f>
      </c>
      <c r="G15">
        <f>G13/C13-1</f>
      </c>
      <c r="H15">
        <f>H13/D13-1</f>
      </c>
      <c r="I15">
        <f>I13/E13-1</f>
      </c>
      <c r="J15">
        <f>J13/F13-1</f>
      </c>
      <c r="K15">
        <f>K13/G13-1</f>
      </c>
      <c r="L15">
        <f>L13/H13-1</f>
      </c>
      <c r="M15">
        <f>M13/I13-1</f>
      </c>
      <c r="N15">
        <f>N13/J13-1</f>
      </c>
      <c r="O15">
        <f>O13/K13-1</f>
      </c>
      <c r="P15">
        <f>P13/L13-1</f>
      </c>
      <c r="Q15">
        <f>Q13/M13-1</f>
      </c>
      <c r="R15">
        <f>R13/N13-1</f>
      </c>
      <c r="S15">
        <f>S13/O13-1</f>
      </c>
      <c r="T15">
        <f>T13/P13-1</f>
      </c>
      <c r="U15">
        <f>U13/Q13-1</f>
      </c>
      <c r="V15">
        <f>V13/R13-1</f>
      </c>
      <c r="W15">
        <f>W13/S13-1</f>
      </c>
    </row>
    <row r="16" spans="1:23" x14ac:dyDescent="0.25">
      <c r="A16" t="s">
        <v>18</v>
      </c>
      <c r="B16">
        <v>-847777</v>
      </c>
      <c r="C16">
        <v>-156572</v>
      </c>
      <c r="D16">
        <v>-114014</v>
      </c>
      <c r="E16">
        <v>-146148</v>
      </c>
      <c r="F16">
        <v>-91941</v>
      </c>
      <c r="G16">
        <v>-58943</v>
      </c>
      <c r="H16">
        <v>-39439</v>
      </c>
      <c r="I16">
        <v>-41745</v>
      </c>
      <c r="J16">
        <v>-62191</v>
      </c>
      <c r="K16">
        <v>-17826</v>
      </c>
      <c r="L16">
        <v>4115</v>
      </c>
      <c r="M16">
        <v>10074</v>
      </c>
      <c r="N16">
        <v>39983</v>
      </c>
      <c r="O16">
        <v>65794</v>
      </c>
      <c r="P16">
        <v>80881</v>
      </c>
      <c r="Q16">
        <v>105339</v>
      </c>
      <c r="R16">
        <v>113140</v>
      </c>
      <c r="S16">
        <v>11043</v>
      </c>
      <c r="T16">
        <v>176048</v>
      </c>
      <c r="U16">
        <v>269317</v>
      </c>
      <c r="V16">
        <v>393256</v>
      </c>
      <c r="W16">
        <v>575394</v>
      </c>
    </row>
    <row r="17" spans="1:23" x14ac:dyDescent="0.25">
      <c r="A17" t="s">
        <v>19</v>
      </c>
      <c r="B17">
        <f>B16/B$3</f>
      </c>
      <c r="C17">
        <f>C16/C$3</f>
      </c>
      <c r="D17">
        <f>D16/D$3</f>
      </c>
      <c r="E17">
        <f>E16/E$3</f>
      </c>
      <c r="F17">
        <f>F16/F$3</f>
      </c>
      <c r="G17">
        <f>G16/G$3</f>
      </c>
      <c r="H17">
        <f>H16/H$3</f>
      </c>
      <c r="I17">
        <f>I16/I$3</f>
      </c>
      <c r="J17">
        <f>J16/J$3</f>
      </c>
      <c r="K17">
        <f>K16/K$3</f>
      </c>
      <c r="L17">
        <f>L16/L$3</f>
      </c>
      <c r="M17">
        <f>M16/M$3</f>
      </c>
      <c r="N17">
        <f>N16/N$3</f>
      </c>
      <c r="O17">
        <f>O16/O$3</f>
      </c>
      <c r="P17">
        <f>P16/P$3</f>
      </c>
      <c r="Q17">
        <f>Q16/Q$3</f>
      </c>
      <c r="R17">
        <f>R16/R$3</f>
      </c>
      <c r="S17">
        <f>S16/S$3</f>
      </c>
      <c r="T17">
        <f>T16/T$3</f>
      </c>
      <c r="U17">
        <f>U16/U$3</f>
      </c>
      <c r="V17">
        <f>V16/V$3</f>
      </c>
      <c r="W17">
        <f>W16/W$3</f>
      </c>
    </row>
    <row r="18" spans="1:23" x14ac:dyDescent="0.25">
      <c r="A18" t="s">
        <v>20</v>
      </c>
      <c r="F18">
        <f>F16/B16-1</f>
      </c>
      <c r="G18">
        <f>G16/C16-1</f>
      </c>
      <c r="H18">
        <f>H16/D16-1</f>
      </c>
      <c r="I18">
        <f>I16/E16-1</f>
      </c>
      <c r="J18">
        <f>J16/F16-1</f>
      </c>
      <c r="K18">
        <f>K16/G16-1</f>
      </c>
      <c r="L18">
        <f>L16/H16-1</f>
      </c>
      <c r="M18">
        <f>M16/I16-1</f>
      </c>
      <c r="N18">
        <f>N16/J16-1</f>
      </c>
      <c r="O18">
        <f>O16/K16-1</f>
      </c>
      <c r="P18">
        <f>P16/L16-1</f>
      </c>
      <c r="Q18">
        <f>Q16/M16-1</f>
      </c>
      <c r="R18">
        <f>R16/N16-1</f>
      </c>
      <c r="S18">
        <f>S16/O16-1</f>
      </c>
      <c r="T18">
        <f>T16/P16-1</f>
      </c>
      <c r="U18">
        <f>U16/Q16-1</f>
      </c>
      <c r="V18">
        <f>V16/R16-1</f>
      </c>
      <c r="W18">
        <f>W16/S16-1</f>
      </c>
    </row>
    <row r="19" spans="1:23" x14ac:dyDescent="0.25">
      <c r="A19" t="s">
        <v>21</v>
      </c>
      <c r="B19">
        <v>-14085</v>
      </c>
      <c r="C19">
        <v>-2746</v>
      </c>
      <c r="D19">
        <v>-6358</v>
      </c>
      <c r="E19">
        <v>-3683</v>
      </c>
      <c r="F19">
        <v>-9201</v>
      </c>
      <c r="G19">
        <v>-64118</v>
      </c>
      <c r="H19">
        <v>-59917</v>
      </c>
      <c r="I19">
        <v>-135798</v>
      </c>
      <c r="J19">
        <v>-65046</v>
      </c>
      <c r="K19">
        <v>55675</v>
      </c>
      <c r="L19">
        <v>16717</v>
      </c>
      <c r="M19">
        <v>19969</v>
      </c>
      <c r="N19">
        <v>39986</v>
      </c>
      <c r="O19">
        <v>40453</v>
      </c>
      <c r="P19">
        <v>29845</v>
      </c>
      <c r="Q19">
        <v>35420</v>
      </c>
      <c r="R19">
        <v>44010</v>
      </c>
      <c r="S19">
        <v>69495</v>
      </c>
      <c r="T19">
        <v>47268</v>
      </c>
      <c r="U19">
        <v>62851</v>
      </c>
      <c r="V19">
        <v>87245</v>
      </c>
      <c r="W19">
        <v>45989</v>
      </c>
    </row>
    <row r="20" spans="1:23" x14ac:dyDescent="0.25">
      <c r="A20" t="s">
        <v>22</v>
      </c>
      <c r="B20">
        <v>-853319</v>
      </c>
      <c r="C20">
        <v>-148343</v>
      </c>
      <c r="D20">
        <v>-123474</v>
      </c>
      <c r="E20">
        <v>-138580</v>
      </c>
      <c r="F20">
        <v>-102137</v>
      </c>
      <c r="G20">
        <v>-156188</v>
      </c>
      <c r="H20">
        <v>-101379</v>
      </c>
      <c r="I20">
        <v>-179329</v>
      </c>
      <c r="J20">
        <v>-123875</v>
      </c>
      <c r="K20">
        <v>33489</v>
      </c>
      <c r="L20">
        <v>19151</v>
      </c>
      <c r="M20">
        <v>27872</v>
      </c>
      <c r="N20">
        <v>73439</v>
      </c>
      <c r="O20">
        <v>96913</v>
      </c>
      <c r="P20">
        <v>106071</v>
      </c>
      <c r="Q20">
        <v>135570</v>
      </c>
      <c r="R20">
        <v>149341</v>
      </c>
      <c r="S20">
        <v>76936</v>
      </c>
      <c r="T20">
        <v>217717</v>
      </c>
      <c r="U20">
        <v>328572</v>
      </c>
      <c r="V20">
        <v>476748</v>
      </c>
      <c r="W20">
        <v>611607</v>
      </c>
    </row>
    <row r="21" spans="1:23" x14ac:dyDescent="0.25">
      <c r="A21" t="s">
        <v>23</v>
      </c>
      <c r="B21">
        <f>B20/B$3</f>
      </c>
      <c r="C21">
        <f>C20/C$3</f>
      </c>
      <c r="D21">
        <f>D20/D$3</f>
      </c>
      <c r="E21">
        <f>E20/E$3</f>
      </c>
      <c r="F21">
        <f>F20/F$3</f>
      </c>
      <c r="G21">
        <f>G20/G$3</f>
      </c>
      <c r="H21">
        <f>H20/H$3</f>
      </c>
      <c r="I21">
        <f>I20/I$3</f>
      </c>
      <c r="J21">
        <f>J20/J$3</f>
      </c>
      <c r="K21">
        <f>K20/K$3</f>
      </c>
      <c r="L21">
        <f>L20/L$3</f>
      </c>
      <c r="M21">
        <f>M20/M$3</f>
      </c>
      <c r="N21">
        <f>N20/N$3</f>
      </c>
      <c r="O21">
        <f>O20/O$3</f>
      </c>
      <c r="P21">
        <f>P20/P$3</f>
      </c>
      <c r="Q21">
        <f>Q20/Q$3</f>
      </c>
      <c r="R21">
        <f>R20/R$3</f>
      </c>
      <c r="S21">
        <f>S20/S$3</f>
      </c>
      <c r="T21">
        <f>T20/T$3</f>
      </c>
      <c r="U21">
        <f>U20/U$3</f>
      </c>
      <c r="V21">
        <f>V20/V$3</f>
      </c>
      <c r="W21">
        <f>W20/W$3</f>
      </c>
    </row>
    <row r="22" spans="1:23" x14ac:dyDescent="0.25">
      <c r="A22" t="s">
        <v>24</v>
      </c>
      <c r="F22">
        <f>F20/B20-1</f>
      </c>
      <c r="G22">
        <f>G20/C20-1</f>
      </c>
      <c r="H22">
        <f>H20/D20-1</f>
      </c>
      <c r="I22">
        <f>I20/E20-1</f>
      </c>
      <c r="J22">
        <f>J20/F20-1</f>
      </c>
      <c r="K22">
        <f>K20/G20-1</f>
      </c>
      <c r="L22">
        <f>L20/H20-1</f>
      </c>
      <c r="M22">
        <f>M20/I20-1</f>
      </c>
      <c r="N22">
        <f>N20/J20-1</f>
      </c>
      <c r="O22">
        <f>O20/K20-1</f>
      </c>
      <c r="P22">
        <f>P20/L20-1</f>
      </c>
      <c r="Q22">
        <f>Q20/M20-1</f>
      </c>
      <c r="R22">
        <f>R20/N20-1</f>
      </c>
      <c r="S22">
        <f>S20/O20-1</f>
      </c>
      <c r="T22">
        <f>T20/P20-1</f>
      </c>
      <c r="U22">
        <f>U20/Q20-1</f>
      </c>
      <c r="V22">
        <f>V20/R20-1</f>
      </c>
      <c r="W22">
        <f>W20/S20-1</f>
      </c>
    </row>
    <row r="23" spans="1:23" x14ac:dyDescent="0.25">
      <c r="A23" t="s">
        <v>25</v>
      </c>
      <c r="B23">
        <v>-0.94</v>
      </c>
      <c r="C23">
        <v>-0.08</v>
      </c>
      <c r="D23">
        <v>-0.07</v>
      </c>
      <c r="E23">
        <v>-0.07</v>
      </c>
      <c r="F23">
        <v>-0.05</v>
      </c>
      <c r="G23">
        <v>-0.08</v>
      </c>
      <c r="H23">
        <v>-0.05</v>
      </c>
      <c r="I23">
        <v>-0.09</v>
      </c>
      <c r="J23">
        <v>-0.06</v>
      </c>
      <c r="K23">
        <v>0.01</v>
      </c>
      <c r="L23">
        <v>0.01</v>
      </c>
      <c r="M23">
        <v>0.01</v>
      </c>
      <c r="N23">
        <v>0.03</v>
      </c>
      <c r="O23">
        <v>0.04</v>
      </c>
      <c r="P23">
        <v>0.04</v>
      </c>
      <c r="Q23">
        <v>0.06</v>
      </c>
      <c r="R23">
        <v>0.06</v>
      </c>
      <c r="S23">
        <v>0.03</v>
      </c>
      <c r="T23">
        <v>0.08</v>
      </c>
      <c r="U23">
        <v>0.13</v>
      </c>
      <c r="V23">
        <v>0.18</v>
      </c>
      <c r="W23">
        <v>0.24</v>
      </c>
    </row>
    <row r="24" spans="1:23" x14ac:dyDescent="0.25">
      <c r="A24" t="s">
        <v>26</v>
      </c>
      <c r="E24">
        <f>E26/SUM(B23:E23)</f>
      </c>
      <c r="F24">
        <f>F26/SUM(C23:F23)</f>
      </c>
      <c r="G24">
        <f>G26/SUM(D23:G23)</f>
      </c>
      <c r="H24">
        <f>H26/SUM(E23:H23)</f>
      </c>
      <c r="I24">
        <f>I26/SUM(F23:I23)</f>
      </c>
      <c r="J24">
        <f>J26/SUM(G23:J23)</f>
      </c>
      <c r="K24">
        <f>K26/SUM(H23:K23)</f>
      </c>
      <c r="L24">
        <f>L26/SUM(I23:L23)</f>
      </c>
      <c r="M24">
        <f>M26/SUM(J23:M23)</f>
      </c>
      <c r="N24">
        <f>N26/SUM(K23:N23)</f>
      </c>
      <c r="O24">
        <f>O26/SUM(L23:O23)</f>
      </c>
      <c r="P24">
        <f>P26/SUM(M23:P23)</f>
      </c>
      <c r="Q24">
        <f>Q26/SUM(N23:Q23)</f>
      </c>
      <c r="R24">
        <f>R26/SUM(O23:R23)</f>
      </c>
      <c r="S24">
        <f>S26/SUM(P23:S23)</f>
      </c>
      <c r="T24">
        <f>T26/SUM(Q23:T23)</f>
      </c>
      <c r="U24">
        <f>U26/SUM(R23:U23)</f>
      </c>
      <c r="V24">
        <f>V26/SUM(S23:V23)</f>
      </c>
      <c r="W24">
        <f>W26/SUM(T23:W23)</f>
      </c>
    </row>
    <row r="25" spans="1:23" x14ac:dyDescent="0.25">
      <c r="A25" t="s">
        <v>27</v>
      </c>
      <c r="H25">
        <f>AVERAGE(E24:H24)</f>
      </c>
      <c r="I25">
        <f>AVERAGE(F24:I24)</f>
      </c>
      <c r="J25">
        <f>AVERAGE(G24:J24)</f>
      </c>
      <c r="K25">
        <f>AVERAGE(H24:K24)</f>
      </c>
      <c r="L25">
        <f>AVERAGE(I24:L24)</f>
      </c>
      <c r="M25">
        <f>AVERAGE(J24:M24)</f>
      </c>
      <c r="N25">
        <f>AVERAGE(K24:N24)</f>
      </c>
      <c r="O25">
        <f>AVERAGE(L24:O24)</f>
      </c>
      <c r="P25">
        <f>AVERAGE(M24:P24)</f>
      </c>
      <c r="Q25">
        <f>AVERAGE(N24:Q24)</f>
      </c>
      <c r="R25">
        <f>AVERAGE(O24:R24)</f>
      </c>
      <c r="S25">
        <f>AVERAGE(P24:S24)</f>
      </c>
      <c r="T25">
        <f>AVERAGE(Q24:T24)</f>
      </c>
      <c r="U25">
        <f>AVERAGE(R24:U24)</f>
      </c>
      <c r="V25">
        <f>AVERAGE(S24:V24)</f>
      </c>
      <c r="W25">
        <f>AVERAGE(T24:W24)</f>
      </c>
    </row>
    <row r="26" spans="1:23" x14ac:dyDescent="0.25">
      <c r="A26" t="s">
        <v>28</v>
      </c>
      <c r="C26">
        <v>25.1</v>
      </c>
      <c r="D26">
        <v>22.04</v>
      </c>
      <c r="E26">
        <v>26.63</v>
      </c>
      <c r="F26">
        <v>24.52</v>
      </c>
      <c r="G26">
        <v>18.69</v>
      </c>
      <c r="H26">
        <v>13.88</v>
      </c>
      <c r="I26">
        <v>9.23</v>
      </c>
      <c r="J26">
        <v>8.08</v>
      </c>
      <c r="K26">
        <v>6.42</v>
      </c>
      <c r="L26">
        <v>8.15</v>
      </c>
      <c r="M26">
        <v>15.2</v>
      </c>
      <c r="N26">
        <v>16</v>
      </c>
      <c r="O26">
        <v>17.17</v>
      </c>
      <c r="P26">
        <v>23.01</v>
      </c>
      <c r="Q26">
        <v>25.33</v>
      </c>
      <c r="R26">
        <v>36.84</v>
      </c>
      <c r="S26">
        <v>77.18</v>
      </c>
      <c r="T26">
        <v>85.85</v>
      </c>
      <c r="U26">
        <v>130.74</v>
      </c>
      <c r="V26">
        <v>178.86</v>
      </c>
      <c r="W26">
        <v>180.84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PLTR業績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2026-02-22T05:57:18Z</dcterms:created>
  <dcterms:modified xsi:type="dcterms:W3CDTF">2026-02-22T05:57:18Z</dcterms:modified>
</cp:coreProperties>
</file>