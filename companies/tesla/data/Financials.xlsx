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SLA業績" state="visible" r:id="rId4"/>
  </sheets>
  <calcPr calcId="171027"/>
</workbook>
</file>

<file path=xl/sharedStrings.xml><?xml version="1.0" encoding="utf-8"?>
<sst xmlns="http://schemas.openxmlformats.org/spreadsheetml/2006/main" count="66" uniqueCount="45">
  <si>
    <t/>
  </si>
  <si>
    <t>Q1</t>
  </si>
  <si>
    <t>Q2</t>
  </si>
  <si>
    <t>Q3</t>
  </si>
  <si>
    <t>Q4</t>
  </si>
  <si>
    <t>Automotive Sales</t>
  </si>
  <si>
    <t>Regulatory Credits</t>
  </si>
  <si>
    <t>Automotive Leasing</t>
  </si>
  <si>
    <t>Total Automotive</t>
  </si>
  <si>
    <t>Energy Generation &amp; Storage</t>
  </si>
  <si>
    <t>Services &amp; Other</t>
  </si>
  <si>
    <t>売上高 (Total Revenue)</t>
  </si>
  <si>
    <t>売上QoQ</t>
  </si>
  <si>
    <t>売上YoY</t>
  </si>
  <si>
    <t>売上原価</t>
  </si>
  <si>
    <t>粗利益</t>
  </si>
  <si>
    <t>粗利率</t>
  </si>
  <si>
    <t>粗利YoY</t>
  </si>
  <si>
    <t>R&amp;D</t>
  </si>
  <si>
    <t>R&amp;D比率</t>
  </si>
  <si>
    <t>SGA</t>
  </si>
  <si>
    <t>SGA比率</t>
  </si>
  <si>
    <t>リストラクチャリング</t>
  </si>
  <si>
    <t>営業費用合計</t>
  </si>
  <si>
    <t>営業費用比率</t>
  </si>
  <si>
    <t>営業費用YoY</t>
  </si>
  <si>
    <t>営業利益</t>
  </si>
  <si>
    <t>営業利益率</t>
  </si>
  <si>
    <t>営業利益YoY</t>
  </si>
  <si>
    <t>受取利息</t>
  </si>
  <si>
    <t>支払利息</t>
  </si>
  <si>
    <t>その他営業外損益</t>
  </si>
  <si>
    <t>税引前利益</t>
  </si>
  <si>
    <t>法人税等</t>
  </si>
  <si>
    <t>純利益</t>
  </si>
  <si>
    <t>純利益率</t>
  </si>
  <si>
    <t>純利益YoY</t>
  </si>
  <si>
    <t>EPS (基本)</t>
  </si>
  <si>
    <t>EPS (希薄化後)</t>
  </si>
  <si>
    <t>発行済株式数 (基本)</t>
  </si>
  <si>
    <t>発行済株式数 (希薄化後)</t>
  </si>
  <si>
    <t>株価 (四半期末)</t>
  </si>
  <si>
    <t>時価総額</t>
  </si>
  <si>
    <t>PER (直近4Q)</t>
  </si>
  <si>
    <t>PER (4Q平均)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</si>
</sst>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2"/>
  <sheetFormatPr defaultRowHeight="15" outlineLevelRow="0" outlineLevelCol="0" x14ac:dyDescent="55"/>
  <cols>
    <col min="1" max="1" width="26" customWidth="1"/>
  </cols>
  <sheetData>
    <row r="1" spans="1:22" x14ac:dyDescent="0.25">
      <c r="A1" t="s">
        <v>0</v>
      </c>
      <c r="B1">
        <v>2020</v>
      </c>
      <c r="F1">
        <v>2021</v>
      </c>
      <c r="J1">
        <v>2022</v>
      </c>
      <c r="N1">
        <v>2023</v>
      </c>
      <c r="R1">
        <v>2024</v>
      </c>
      <c r="V1">
        <v>2025</v>
      </c>
    </row>
    <row r="2" spans="1:2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</v>
      </c>
      <c r="G2" t="s">
        <v>2</v>
      </c>
      <c r="H2" t="s">
        <v>3</v>
      </c>
      <c r="I2" t="s">
        <v>4</v>
      </c>
      <c r="J2" t="s">
        <v>1</v>
      </c>
      <c r="K2" t="s">
        <v>2</v>
      </c>
      <c r="L2" t="s">
        <v>3</v>
      </c>
      <c r="M2" t="s">
        <v>4</v>
      </c>
      <c r="N2" t="s">
        <v>1</v>
      </c>
      <c r="O2" t="s">
        <v>2</v>
      </c>
      <c r="P2" t="s">
        <v>3</v>
      </c>
      <c r="Q2" t="s">
        <v>4</v>
      </c>
      <c r="R2" t="s">
        <v>1</v>
      </c>
      <c r="S2" t="s">
        <v>2</v>
      </c>
      <c r="T2" t="s">
        <v>3</v>
      </c>
      <c r="U2" t="s">
        <v>4</v>
      </c>
      <c r="V2" t="s">
        <v>1</v>
      </c>
      <c r="W2" t="s">
        <v>2</v>
      </c>
      <c r="X2" t="s">
        <v>3</v>
      </c>
      <c r="Y2" t="s">
        <v>4</v>
      </c>
    </row>
    <row r="3" spans="1:25" x14ac:dyDescent="0.25">
      <c r="A3" t="s">
        <v>5</v>
      </c>
      <c r="B3">
        <v>4893</v>
      </c>
      <c r="C3">
        <v>4911</v>
      </c>
      <c r="D3">
        <v>7346</v>
      </c>
      <c r="E3">
        <v>9034</v>
      </c>
      <c r="F3">
        <v>8705</v>
      </c>
      <c r="G3">
        <v>9874</v>
      </c>
      <c r="H3">
        <v>11672</v>
      </c>
      <c r="I3">
        <v>13874</v>
      </c>
      <c r="J3">
        <v>15514</v>
      </c>
      <c r="K3">
        <v>13670</v>
      </c>
      <c r="L3">
        <v>17785</v>
      </c>
      <c r="M3">
        <v>20241</v>
      </c>
      <c r="N3">
        <v>18878</v>
      </c>
      <c r="O3">
        <v>20419</v>
      </c>
      <c r="P3">
        <v>18582</v>
      </c>
      <c r="Q3">
        <v>20630</v>
      </c>
      <c r="R3">
        <v>16460</v>
      </c>
      <c r="S3">
        <v>18530</v>
      </c>
      <c r="T3">
        <v>18831</v>
      </c>
      <c r="U3">
        <v>18659</v>
      </c>
      <c r="V3">
        <v>12925</v>
      </c>
      <c r="W3">
        <v>15787</v>
      </c>
      <c r="X3">
        <v>20359</v>
      </c>
      <c r="Y3">
        <v>16750</v>
      </c>
    </row>
    <row r="4" spans="1:25" x14ac:dyDescent="0.25">
      <c r="A4" t="s">
        <v>6</v>
      </c>
      <c r="J4">
        <v>679</v>
      </c>
      <c r="K4">
        <v>344</v>
      </c>
      <c r="L4">
        <v>286</v>
      </c>
      <c r="M4">
        <v>467</v>
      </c>
      <c r="N4">
        <v>521</v>
      </c>
      <c r="O4">
        <v>282</v>
      </c>
      <c r="P4">
        <v>554</v>
      </c>
      <c r="Q4">
        <v>433</v>
      </c>
      <c r="R4">
        <v>442</v>
      </c>
      <c r="S4">
        <v>890</v>
      </c>
      <c r="T4">
        <v>739</v>
      </c>
      <c r="U4">
        <v>692</v>
      </c>
      <c r="V4">
        <v>595</v>
      </c>
      <c r="W4">
        <v>439</v>
      </c>
      <c r="X4">
        <v>417</v>
      </c>
      <c r="Y4">
        <v>542</v>
      </c>
    </row>
    <row r="5" spans="1:25" x14ac:dyDescent="0.25">
      <c r="A5" t="s">
        <v>7</v>
      </c>
      <c r="F5">
        <v>297</v>
      </c>
      <c r="G5">
        <v>332</v>
      </c>
      <c r="H5">
        <v>385</v>
      </c>
      <c r="I5">
        <v>2093</v>
      </c>
      <c r="J5">
        <v>668</v>
      </c>
      <c r="K5">
        <v>588</v>
      </c>
      <c r="L5">
        <v>621</v>
      </c>
      <c r="M5">
        <v>599</v>
      </c>
      <c r="N5">
        <v>564</v>
      </c>
      <c r="O5">
        <v>567</v>
      </c>
      <c r="P5">
        <v>489</v>
      </c>
      <c r="Q5">
        <v>500</v>
      </c>
      <c r="R5">
        <v>476</v>
      </c>
      <c r="S5">
        <v>458</v>
      </c>
      <c r="T5">
        <v>446</v>
      </c>
      <c r="U5">
        <v>447</v>
      </c>
      <c r="V5">
        <v>447</v>
      </c>
      <c r="W5">
        <v>435</v>
      </c>
      <c r="X5">
        <v>429</v>
      </c>
      <c r="Y5">
        <v>401</v>
      </c>
    </row>
    <row r="6" spans="1:25" x14ac:dyDescent="0.25">
      <c r="A6" t="s">
        <v>8</v>
      </c>
      <c r="F6">
        <v>9002</v>
      </c>
      <c r="G6">
        <v>10206</v>
      </c>
      <c r="H6">
        <v>12057</v>
      </c>
      <c r="I6">
        <v>15967</v>
      </c>
      <c r="J6">
        <v>16861</v>
      </c>
      <c r="K6">
        <v>14602</v>
      </c>
      <c r="L6">
        <v>18692</v>
      </c>
      <c r="M6">
        <v>21307</v>
      </c>
      <c r="N6">
        <v>19963</v>
      </c>
      <c r="O6">
        <v>21268</v>
      </c>
      <c r="P6">
        <v>19625</v>
      </c>
      <c r="Q6">
        <v>21563</v>
      </c>
      <c r="R6">
        <v>17378</v>
      </c>
      <c r="S6">
        <v>19878</v>
      </c>
      <c r="T6">
        <v>20016</v>
      </c>
      <c r="U6">
        <v>19798</v>
      </c>
      <c r="V6">
        <v>13967</v>
      </c>
      <c r="W6">
        <v>16661</v>
      </c>
      <c r="X6">
        <v>21205</v>
      </c>
      <c r="Y6">
        <v>17693</v>
      </c>
    </row>
    <row r="7" spans="1:25" x14ac:dyDescent="0.25">
      <c r="A7" t="s">
        <v>9</v>
      </c>
      <c r="B7">
        <v>293</v>
      </c>
      <c r="C7">
        <v>370</v>
      </c>
      <c r="D7">
        <v>579</v>
      </c>
      <c r="F7">
        <v>494</v>
      </c>
      <c r="G7">
        <v>801</v>
      </c>
      <c r="H7">
        <v>806</v>
      </c>
      <c r="J7">
        <v>616</v>
      </c>
      <c r="K7">
        <v>866</v>
      </c>
      <c r="L7">
        <v>1117</v>
      </c>
      <c r="M7">
        <v>1310</v>
      </c>
      <c r="N7">
        <v>1529</v>
      </c>
      <c r="O7">
        <v>1509</v>
      </c>
      <c r="P7">
        <v>1559</v>
      </c>
      <c r="Q7">
        <v>1438</v>
      </c>
      <c r="R7">
        <v>1635</v>
      </c>
      <c r="S7">
        <v>3014</v>
      </c>
      <c r="T7">
        <v>2376</v>
      </c>
      <c r="U7">
        <v>3061</v>
      </c>
      <c r="V7">
        <v>2730</v>
      </c>
      <c r="W7">
        <v>2789</v>
      </c>
      <c r="X7">
        <v>3415</v>
      </c>
      <c r="Y7">
        <v>3837</v>
      </c>
    </row>
    <row r="8" spans="1:25" x14ac:dyDescent="0.25">
      <c r="A8" t="s">
        <v>10</v>
      </c>
      <c r="B8">
        <v>560</v>
      </c>
      <c r="C8">
        <v>487</v>
      </c>
      <c r="D8">
        <v>581</v>
      </c>
      <c r="E8">
        <v>678</v>
      </c>
      <c r="F8">
        <v>893</v>
      </c>
      <c r="G8">
        <v>951</v>
      </c>
      <c r="H8">
        <v>894</v>
      </c>
      <c r="I8">
        <v>1064</v>
      </c>
      <c r="J8">
        <v>1279</v>
      </c>
      <c r="K8">
        <v>1466</v>
      </c>
      <c r="L8">
        <v>1645</v>
      </c>
      <c r="M8">
        <v>1701</v>
      </c>
      <c r="N8">
        <v>1837</v>
      </c>
      <c r="O8">
        <v>2150</v>
      </c>
      <c r="P8">
        <v>2166</v>
      </c>
      <c r="Q8">
        <v>2166</v>
      </c>
      <c r="R8">
        <v>2288</v>
      </c>
      <c r="S8">
        <v>2608</v>
      </c>
      <c r="T8">
        <v>2790</v>
      </c>
      <c r="U8">
        <v>2848</v>
      </c>
      <c r="V8">
        <v>2638</v>
      </c>
      <c r="W8">
        <v>3046</v>
      </c>
      <c r="X8">
        <v>3475</v>
      </c>
      <c r="Y8">
        <v>3371</v>
      </c>
    </row>
    <row r="9" spans="1:25" x14ac:dyDescent="0.25">
      <c r="A9" t="s">
        <v>11</v>
      </c>
      <c r="B9">
        <v>5985</v>
      </c>
      <c r="C9">
        <v>6036</v>
      </c>
      <c r="D9">
        <v>8771</v>
      </c>
      <c r="E9">
        <v>10744</v>
      </c>
      <c r="F9">
        <v>10389</v>
      </c>
      <c r="G9">
        <v>11958</v>
      </c>
      <c r="H9">
        <v>13757</v>
      </c>
      <c r="I9">
        <v>17719</v>
      </c>
      <c r="J9">
        <v>18756</v>
      </c>
      <c r="K9">
        <v>16934</v>
      </c>
      <c r="L9">
        <v>21454</v>
      </c>
      <c r="M9">
        <v>24318</v>
      </c>
      <c r="N9">
        <v>23329</v>
      </c>
      <c r="O9">
        <v>24927</v>
      </c>
      <c r="P9">
        <v>23350</v>
      </c>
      <c r="Q9">
        <v>25167</v>
      </c>
      <c r="R9">
        <v>21301</v>
      </c>
      <c r="S9">
        <v>25500</v>
      </c>
      <c r="T9">
        <v>25182</v>
      </c>
      <c r="U9">
        <v>25707</v>
      </c>
      <c r="V9">
        <v>19335</v>
      </c>
      <c r="W9">
        <v>22496</v>
      </c>
      <c r="X9">
        <v>28095</v>
      </c>
      <c r="Y9">
        <v>24901</v>
      </c>
    </row>
    <row r="10" spans="1:25" x14ac:dyDescent="0.25">
      <c r="A10" t="s">
        <v>12</v>
      </c>
      <c r="C10">
        <f>C9/B9-1</f>
      </c>
      <c r="D10">
        <f>D9/C9-1</f>
      </c>
      <c r="E10">
        <f>E9/D9-1</f>
      </c>
      <c r="F10">
        <f>F9/E9-1</f>
      </c>
      <c r="G10">
        <f>G9/F9-1</f>
      </c>
      <c r="H10">
        <f>H9/G9-1</f>
      </c>
      <c r="I10">
        <f>I9/H9-1</f>
      </c>
      <c r="J10">
        <f>J9/I9-1</f>
      </c>
      <c r="K10">
        <f>K9/J9-1</f>
      </c>
      <c r="L10">
        <f>L9/K9-1</f>
      </c>
      <c r="M10">
        <f>M9/L9-1</f>
      </c>
      <c r="N10">
        <f>N9/M9-1</f>
      </c>
      <c r="O10">
        <f>O9/N9-1</f>
      </c>
      <c r="P10">
        <f>P9/O9-1</f>
      </c>
      <c r="Q10">
        <f>Q9/P9-1</f>
      </c>
      <c r="R10">
        <f>R9/Q9-1</f>
      </c>
      <c r="S10">
        <f>S9/R9-1</f>
      </c>
      <c r="T10">
        <f>T9/S9-1</f>
      </c>
      <c r="U10">
        <f>U9/T9-1</f>
      </c>
      <c r="V10">
        <f>V9/U9-1</f>
      </c>
      <c r="W10">
        <f>W9/V9-1</f>
      </c>
      <c r="X10">
        <f>X9/W9-1</f>
      </c>
      <c r="Y10">
        <f>Y9/X9-1</f>
      </c>
    </row>
    <row r="11" spans="1:25" x14ac:dyDescent="0.25">
      <c r="A11" t="s">
        <v>13</v>
      </c>
      <c r="F11">
        <f>F9/B9-1</f>
      </c>
      <c r="G11">
        <f>G9/C9-1</f>
      </c>
      <c r="H11">
        <f>H9/D9-1</f>
      </c>
      <c r="I11">
        <f>I9/E9-1</f>
      </c>
      <c r="J11">
        <f>J9/F9-1</f>
      </c>
      <c r="K11">
        <f>K9/G9-1</f>
      </c>
      <c r="L11">
        <f>L9/H9-1</f>
      </c>
      <c r="M11">
        <f>M9/I9-1</f>
      </c>
      <c r="N11">
        <f>N9/J9-1</f>
      </c>
      <c r="O11">
        <f>O9/K9-1</f>
      </c>
      <c r="P11">
        <f>P9/L9-1</f>
      </c>
      <c r="Q11">
        <f>Q9/M9-1</f>
      </c>
      <c r="R11">
        <f>R9/N9-1</f>
      </c>
      <c r="S11">
        <f>S9/O9-1</f>
      </c>
      <c r="T11">
        <f>T9/P9-1</f>
      </c>
      <c r="U11">
        <f>U9/Q9-1</f>
      </c>
      <c r="V11">
        <f>V9/R9-1</f>
      </c>
      <c r="W11">
        <f>W9/S9-1</f>
      </c>
      <c r="X11">
        <f>X9/T9-1</f>
      </c>
      <c r="Y11">
        <f>Y9/U9-1</f>
      </c>
    </row>
    <row r="12" spans="1:25" x14ac:dyDescent="0.25">
      <c r="A12" t="s">
        <v>14</v>
      </c>
      <c r="B12">
        <v>4751</v>
      </c>
      <c r="C12">
        <v>4769</v>
      </c>
      <c r="D12">
        <v>6708</v>
      </c>
      <c r="F12">
        <v>8174</v>
      </c>
      <c r="G12">
        <v>9074</v>
      </c>
      <c r="H12">
        <v>10097</v>
      </c>
      <c r="J12">
        <v>13296</v>
      </c>
      <c r="K12">
        <v>12700</v>
      </c>
      <c r="L12">
        <v>16072</v>
      </c>
      <c r="M12">
        <v>18541</v>
      </c>
      <c r="N12">
        <v>18818</v>
      </c>
      <c r="O12">
        <v>20394</v>
      </c>
      <c r="P12">
        <v>19172</v>
      </c>
      <c r="Q12">
        <v>20729</v>
      </c>
      <c r="R12">
        <v>17605</v>
      </c>
      <c r="S12">
        <v>20922</v>
      </c>
      <c r="T12">
        <v>20185</v>
      </c>
      <c r="U12">
        <v>21528</v>
      </c>
      <c r="V12">
        <v>16182</v>
      </c>
      <c r="W12">
        <v>18618</v>
      </c>
      <c r="X12">
        <v>23041</v>
      </c>
      <c r="Y12">
        <v>19892</v>
      </c>
    </row>
    <row r="13" spans="1:25" x14ac:dyDescent="0.25">
      <c r="A13" t="s">
        <v>15</v>
      </c>
      <c r="B13">
        <v>1234</v>
      </c>
      <c r="C13">
        <v>1267</v>
      </c>
      <c r="D13">
        <v>2063</v>
      </c>
      <c r="F13">
        <v>2215</v>
      </c>
      <c r="G13">
        <v>2884</v>
      </c>
      <c r="H13">
        <v>3660</v>
      </c>
      <c r="J13">
        <v>5460</v>
      </c>
      <c r="K13">
        <v>4234</v>
      </c>
      <c r="L13">
        <v>5382</v>
      </c>
      <c r="M13">
        <v>5777</v>
      </c>
      <c r="N13">
        <v>4511</v>
      </c>
      <c r="O13">
        <v>4533</v>
      </c>
      <c r="P13">
        <v>4178</v>
      </c>
      <c r="Q13">
        <v>4438</v>
      </c>
      <c r="R13">
        <v>3696</v>
      </c>
      <c r="S13">
        <v>4578</v>
      </c>
      <c r="T13">
        <v>4997</v>
      </c>
      <c r="U13">
        <v>4179</v>
      </c>
      <c r="V13">
        <v>3153</v>
      </c>
      <c r="W13">
        <v>3878</v>
      </c>
      <c r="X13">
        <v>5054</v>
      </c>
      <c r="Y13">
        <v>5009</v>
      </c>
    </row>
    <row r="14" spans="1:25" x14ac:dyDescent="0.25">
      <c r="A14" t="s">
        <v>16</v>
      </c>
      <c r="B14">
        <f>B13/B$9</f>
      </c>
      <c r="C14">
        <f>C13/C$9</f>
      </c>
      <c r="D14">
        <f>D13/D$9</f>
      </c>
      <c r="E14">
        <f>E13/E$9</f>
      </c>
      <c r="F14">
        <f>F13/F$9</f>
      </c>
      <c r="G14">
        <f>G13/G$9</f>
      </c>
      <c r="H14">
        <f>H13/H$9</f>
      </c>
      <c r="I14">
        <f>I13/I$9</f>
      </c>
      <c r="J14">
        <f>J13/J$9</f>
      </c>
      <c r="K14">
        <f>K13/K$9</f>
      </c>
      <c r="L14">
        <f>L13/L$9</f>
      </c>
      <c r="M14">
        <f>M13/M$9</f>
      </c>
      <c r="N14">
        <f>N13/N$9</f>
      </c>
      <c r="O14">
        <f>O13/O$9</f>
      </c>
      <c r="P14">
        <f>P13/P$9</f>
      </c>
      <c r="Q14">
        <f>Q13/Q$9</f>
      </c>
      <c r="R14">
        <f>R13/R$9</f>
      </c>
      <c r="S14">
        <f>S13/S$9</f>
      </c>
      <c r="T14">
        <f>T13/T$9</f>
      </c>
      <c r="U14">
        <f>U13/U$9</f>
      </c>
      <c r="V14">
        <f>V13/V$9</f>
      </c>
      <c r="W14">
        <f>W13/W$9</f>
      </c>
      <c r="X14">
        <f>X13/X$9</f>
      </c>
      <c r="Y14">
        <f>Y13/Y$9</f>
      </c>
    </row>
    <row r="15" spans="1:25" x14ac:dyDescent="0.25">
      <c r="A15" t="s">
        <v>17</v>
      </c>
      <c r="F15">
        <f>F13/B13-1</f>
      </c>
      <c r="G15">
        <f>G13/C13-1</f>
      </c>
      <c r="H15">
        <f>H13/D13-1</f>
      </c>
      <c r="I15">
        <f>I13/E13-1</f>
      </c>
      <c r="J15">
        <f>J13/F13-1</f>
      </c>
      <c r="K15">
        <f>K13/G13-1</f>
      </c>
      <c r="L15">
        <f>L13/H13-1</f>
      </c>
      <c r="M15">
        <f>M13/I13-1</f>
      </c>
      <c r="N15">
        <f>N13/J13-1</f>
      </c>
      <c r="O15">
        <f>O13/K13-1</f>
      </c>
      <c r="P15">
        <f>P13/L13-1</f>
      </c>
      <c r="Q15">
        <f>Q13/M13-1</f>
      </c>
      <c r="R15">
        <f>R13/N13-1</f>
      </c>
      <c r="S15">
        <f>S13/O13-1</f>
      </c>
      <c r="T15">
        <f>T13/P13-1</f>
      </c>
      <c r="U15">
        <f>U13/Q13-1</f>
      </c>
      <c r="V15">
        <f>V13/R13-1</f>
      </c>
      <c r="W15">
        <f>W13/S13-1</f>
      </c>
      <c r="X15">
        <f>X13/T13-1</f>
      </c>
      <c r="Y15">
        <f>Y13/U13-1</f>
      </c>
    </row>
    <row r="16" spans="1:25" x14ac:dyDescent="0.25">
      <c r="A16" t="s">
        <v>18</v>
      </c>
      <c r="B16">
        <v>324</v>
      </c>
      <c r="C16">
        <v>279</v>
      </c>
      <c r="D16">
        <v>366</v>
      </c>
      <c r="F16">
        <v>666</v>
      </c>
      <c r="G16">
        <v>576</v>
      </c>
      <c r="H16">
        <v>611</v>
      </c>
      <c r="J16">
        <v>865</v>
      </c>
      <c r="K16">
        <v>667</v>
      </c>
      <c r="L16">
        <v>733</v>
      </c>
      <c r="M16">
        <v>810</v>
      </c>
      <c r="N16">
        <v>771</v>
      </c>
      <c r="O16">
        <v>943</v>
      </c>
      <c r="P16">
        <v>1161</v>
      </c>
      <c r="Q16">
        <v>1094</v>
      </c>
      <c r="R16">
        <v>1151</v>
      </c>
      <c r="S16">
        <v>1074</v>
      </c>
      <c r="T16">
        <v>1039</v>
      </c>
      <c r="U16">
        <v>1276</v>
      </c>
      <c r="V16">
        <v>1409</v>
      </c>
      <c r="W16">
        <v>1589</v>
      </c>
      <c r="X16">
        <v>1630</v>
      </c>
      <c r="Y16">
        <v>1783</v>
      </c>
    </row>
    <row r="17" spans="1:25" x14ac:dyDescent="0.25">
      <c r="A17" t="s">
        <v>19</v>
      </c>
      <c r="B17">
        <f>B16/B$9</f>
      </c>
      <c r="C17">
        <f>C16/C$9</f>
      </c>
      <c r="D17">
        <f>D16/D$9</f>
      </c>
      <c r="E17">
        <f>E16/E$9</f>
      </c>
      <c r="F17">
        <f>F16/F$9</f>
      </c>
      <c r="G17">
        <f>G16/G$9</f>
      </c>
      <c r="H17">
        <f>H16/H$9</f>
      </c>
      <c r="I17">
        <f>I16/I$9</f>
      </c>
      <c r="J17">
        <f>J16/J$9</f>
      </c>
      <c r="K17">
        <f>K16/K$9</f>
      </c>
      <c r="L17">
        <f>L16/L$9</f>
      </c>
      <c r="M17">
        <f>M16/M$9</f>
      </c>
      <c r="N17">
        <f>N16/N$9</f>
      </c>
      <c r="O17">
        <f>O16/O$9</f>
      </c>
      <c r="P17">
        <f>P16/P$9</f>
      </c>
      <c r="Q17">
        <f>Q16/Q$9</f>
      </c>
      <c r="R17">
        <f>R16/R$9</f>
      </c>
      <c r="S17">
        <f>S16/S$9</f>
      </c>
      <c r="T17">
        <f>T16/T$9</f>
      </c>
      <c r="U17">
        <f>U16/U$9</f>
      </c>
      <c r="V17">
        <f>V16/V$9</f>
      </c>
      <c r="W17">
        <f>W16/W$9</f>
      </c>
      <c r="X17">
        <f>X16/X$9</f>
      </c>
      <c r="Y17">
        <f>Y16/Y$9</f>
      </c>
    </row>
    <row r="18" spans="1:25" x14ac:dyDescent="0.25">
      <c r="A18" t="s">
        <v>20</v>
      </c>
      <c r="B18">
        <v>627</v>
      </c>
      <c r="C18">
        <v>661</v>
      </c>
      <c r="D18">
        <v>888</v>
      </c>
      <c r="F18">
        <v>1056</v>
      </c>
      <c r="G18">
        <v>973</v>
      </c>
      <c r="H18">
        <v>994</v>
      </c>
      <c r="J18">
        <v>992</v>
      </c>
      <c r="K18">
        <v>961</v>
      </c>
      <c r="L18">
        <v>961</v>
      </c>
      <c r="M18">
        <v>1032</v>
      </c>
      <c r="N18">
        <v>1076</v>
      </c>
      <c r="O18">
        <v>1191</v>
      </c>
      <c r="P18">
        <v>1253</v>
      </c>
      <c r="Q18">
        <v>1280</v>
      </c>
      <c r="R18">
        <v>1374</v>
      </c>
      <c r="S18">
        <v>1277</v>
      </c>
      <c r="T18">
        <v>1186</v>
      </c>
      <c r="U18">
        <v>1313</v>
      </c>
      <c r="V18">
        <v>1251</v>
      </c>
      <c r="W18">
        <v>1366</v>
      </c>
      <c r="X18">
        <v>1562</v>
      </c>
      <c r="Y18">
        <v>1655</v>
      </c>
    </row>
    <row r="19" spans="1:25" x14ac:dyDescent="0.25">
      <c r="A19" t="s">
        <v>21</v>
      </c>
      <c r="B19">
        <f>B18/B$9</f>
      </c>
      <c r="C19">
        <f>C18/C$9</f>
      </c>
      <c r="D19">
        <f>D18/D$9</f>
      </c>
      <c r="E19">
        <f>E18/E$9</f>
      </c>
      <c r="F19">
        <f>F18/F$9</f>
      </c>
      <c r="G19">
        <f>G18/G$9</f>
      </c>
      <c r="H19">
        <f>H18/H$9</f>
      </c>
      <c r="I19">
        <f>I18/I$9</f>
      </c>
      <c r="J19">
        <f>J18/J$9</f>
      </c>
      <c r="K19">
        <f>K18/K$9</f>
      </c>
      <c r="L19">
        <f>L18/L$9</f>
      </c>
      <c r="M19">
        <f>M18/M$9</f>
      </c>
      <c r="N19">
        <f>N18/N$9</f>
      </c>
      <c r="O19">
        <f>O18/O$9</f>
      </c>
      <c r="P19">
        <f>P18/P$9</f>
      </c>
      <c r="Q19">
        <f>Q18/Q$9</f>
      </c>
      <c r="R19">
        <f>R18/R$9</f>
      </c>
      <c r="S19">
        <f>S18/S$9</f>
      </c>
      <c r="T19">
        <f>T18/T$9</f>
      </c>
      <c r="U19">
        <f>U18/U$9</f>
      </c>
      <c r="V19">
        <f>V18/V$9</f>
      </c>
      <c r="W19">
        <f>W18/W$9</f>
      </c>
      <c r="X19">
        <f>X18/X$9</f>
      </c>
      <c r="Y19">
        <f>Y18/Y$9</f>
      </c>
    </row>
    <row r="20" spans="1:25" x14ac:dyDescent="0.25">
      <c r="A20" t="s">
        <v>22</v>
      </c>
      <c r="F20">
        <v>101</v>
      </c>
      <c r="G20">
        <v>-23</v>
      </c>
      <c r="H20">
        <v>-51</v>
      </c>
      <c r="J20">
        <v>0</v>
      </c>
      <c r="M20">
        <v>34</v>
      </c>
      <c r="S20">
        <v>622</v>
      </c>
      <c r="T20">
        <v>55</v>
      </c>
      <c r="U20">
        <v>7</v>
      </c>
      <c r="V20">
        <v>94</v>
      </c>
      <c r="X20">
        <v>238</v>
      </c>
      <c r="Y20">
        <v>162</v>
      </c>
    </row>
    <row r="21" spans="1:25" x14ac:dyDescent="0.25">
      <c r="A21" t="s">
        <v>23</v>
      </c>
      <c r="B21">
        <v>951</v>
      </c>
      <c r="C21">
        <v>940</v>
      </c>
      <c r="D21">
        <v>1254</v>
      </c>
      <c r="F21">
        <v>1621</v>
      </c>
      <c r="G21">
        <v>1572</v>
      </c>
      <c r="H21">
        <v>1656</v>
      </c>
      <c r="J21">
        <v>1857</v>
      </c>
      <c r="K21">
        <v>1770</v>
      </c>
      <c r="L21">
        <v>1694</v>
      </c>
      <c r="M21">
        <v>1876</v>
      </c>
      <c r="N21">
        <v>1847</v>
      </c>
      <c r="O21">
        <v>2134</v>
      </c>
      <c r="P21">
        <v>2414</v>
      </c>
      <c r="Q21">
        <v>2374</v>
      </c>
      <c r="R21">
        <v>2525</v>
      </c>
      <c r="S21">
        <v>2973</v>
      </c>
      <c r="T21">
        <v>2280</v>
      </c>
      <c r="U21">
        <v>2596</v>
      </c>
      <c r="V21">
        <v>2754</v>
      </c>
      <c r="W21">
        <v>2955</v>
      </c>
      <c r="X21">
        <v>3430</v>
      </c>
      <c r="Y21">
        <v>3600</v>
      </c>
    </row>
    <row r="22" spans="1:25" x14ac:dyDescent="0.25">
      <c r="A22" t="s">
        <v>24</v>
      </c>
      <c r="B22">
        <f>B21/B$9</f>
      </c>
      <c r="C22">
        <f>C21/C$9</f>
      </c>
      <c r="D22">
        <f>D21/D$9</f>
      </c>
      <c r="E22">
        <f>E21/E$9</f>
      </c>
      <c r="F22">
        <f>F21/F$9</f>
      </c>
      <c r="G22">
        <f>G21/G$9</f>
      </c>
      <c r="H22">
        <f>H21/H$9</f>
      </c>
      <c r="I22">
        <f>I21/I$9</f>
      </c>
      <c r="J22">
        <f>J21/J$9</f>
      </c>
      <c r="K22">
        <f>K21/K$9</f>
      </c>
      <c r="L22">
        <f>L21/L$9</f>
      </c>
      <c r="M22">
        <f>M21/M$9</f>
      </c>
      <c r="N22">
        <f>N21/N$9</f>
      </c>
      <c r="O22">
        <f>O21/O$9</f>
      </c>
      <c r="P22">
        <f>P21/P$9</f>
      </c>
      <c r="Q22">
        <f>Q21/Q$9</f>
      </c>
      <c r="R22">
        <f>R21/R$9</f>
      </c>
      <c r="S22">
        <f>S21/S$9</f>
      </c>
      <c r="T22">
        <f>T21/T$9</f>
      </c>
      <c r="U22">
        <f>U21/U$9</f>
      </c>
      <c r="V22">
        <f>V21/V$9</f>
      </c>
      <c r="W22">
        <f>W21/W$9</f>
      </c>
      <c r="X22">
        <f>X21/X$9</f>
      </c>
      <c r="Y22">
        <f>Y21/Y$9</f>
      </c>
    </row>
    <row r="23" spans="1:25" x14ac:dyDescent="0.25">
      <c r="A23" t="s">
        <v>25</v>
      </c>
      <c r="F23">
        <f>F21/B21-1</f>
      </c>
      <c r="G23">
        <f>G21/C21-1</f>
      </c>
      <c r="H23">
        <f>H21/D21-1</f>
      </c>
      <c r="I23">
        <f>I21/E21-1</f>
      </c>
      <c r="J23">
        <f>J21/F21-1</f>
      </c>
      <c r="K23">
        <f>K21/G21-1</f>
      </c>
      <c r="L23">
        <f>L21/H21-1</f>
      </c>
      <c r="M23">
        <f>M21/I21-1</f>
      </c>
      <c r="N23">
        <f>N21/J21-1</f>
      </c>
      <c r="O23">
        <f>O21/K21-1</f>
      </c>
      <c r="P23">
        <f>P21/L21-1</f>
      </c>
      <c r="Q23">
        <f>Q21/M21-1</f>
      </c>
      <c r="R23">
        <f>R21/N21-1</f>
      </c>
      <c r="S23">
        <f>S21/O21-1</f>
      </c>
      <c r="T23">
        <f>T21/P21-1</f>
      </c>
      <c r="U23">
        <f>U21/Q21-1</f>
      </c>
      <c r="V23">
        <f>V21/R21-1</f>
      </c>
      <c r="W23">
        <f>W21/S21-1</f>
      </c>
      <c r="X23">
        <f>X21/T21-1</f>
      </c>
      <c r="Y23">
        <f>Y21/U21-1</f>
      </c>
    </row>
    <row r="24" spans="1:25" x14ac:dyDescent="0.25">
      <c r="A24" t="s">
        <v>26</v>
      </c>
      <c r="B24">
        <v>283</v>
      </c>
      <c r="C24">
        <v>327</v>
      </c>
      <c r="D24">
        <v>809</v>
      </c>
      <c r="F24">
        <v>594</v>
      </c>
      <c r="G24">
        <v>1312</v>
      </c>
      <c r="H24">
        <v>2004</v>
      </c>
      <c r="J24">
        <v>3603</v>
      </c>
      <c r="K24">
        <v>2464</v>
      </c>
      <c r="L24">
        <v>3688</v>
      </c>
      <c r="M24">
        <v>3901</v>
      </c>
      <c r="N24">
        <v>2664</v>
      </c>
      <c r="O24">
        <v>2399</v>
      </c>
      <c r="P24">
        <v>1764</v>
      </c>
      <c r="Q24">
        <v>2064</v>
      </c>
      <c r="R24">
        <v>1171</v>
      </c>
      <c r="S24">
        <v>1605</v>
      </c>
      <c r="T24">
        <v>2717</v>
      </c>
      <c r="U24">
        <v>1583</v>
      </c>
      <c r="V24">
        <v>399</v>
      </c>
      <c r="W24">
        <v>923</v>
      </c>
      <c r="X24">
        <v>1624</v>
      </c>
      <c r="Y24">
        <v>1409</v>
      </c>
    </row>
    <row r="25" spans="1:25" x14ac:dyDescent="0.25">
      <c r="A25" t="s">
        <v>27</v>
      </c>
      <c r="B25">
        <f>B24/B$9</f>
      </c>
      <c r="C25">
        <f>C24/C$9</f>
      </c>
      <c r="D25">
        <f>D24/D$9</f>
      </c>
      <c r="E25">
        <f>E24/E$9</f>
      </c>
      <c r="F25">
        <f>F24/F$9</f>
      </c>
      <c r="G25">
        <f>G24/G$9</f>
      </c>
      <c r="H25">
        <f>H24/H$9</f>
      </c>
      <c r="I25">
        <f>I24/I$9</f>
      </c>
      <c r="J25">
        <f>J24/J$9</f>
      </c>
      <c r="K25">
        <f>K24/K$9</f>
      </c>
      <c r="L25">
        <f>L24/L$9</f>
      </c>
      <c r="M25">
        <f>M24/M$9</f>
      </c>
      <c r="N25">
        <f>N24/N$9</f>
      </c>
      <c r="O25">
        <f>O24/O$9</f>
      </c>
      <c r="P25">
        <f>P24/P$9</f>
      </c>
      <c r="Q25">
        <f>Q24/Q$9</f>
      </c>
      <c r="R25">
        <f>R24/R$9</f>
      </c>
      <c r="S25">
        <f>S24/S$9</f>
      </c>
      <c r="T25">
        <f>T24/T$9</f>
      </c>
      <c r="U25">
        <f>U24/U$9</f>
      </c>
      <c r="V25">
        <f>V24/V$9</f>
      </c>
      <c r="W25">
        <f>W24/W$9</f>
      </c>
      <c r="X25">
        <f>X24/X$9</f>
      </c>
      <c r="Y25">
        <f>Y24/Y$9</f>
      </c>
    </row>
    <row r="26" spans="1:25" x14ac:dyDescent="0.25">
      <c r="A26" t="s">
        <v>28</v>
      </c>
      <c r="F26">
        <f>F24/B24-1</f>
      </c>
      <c r="G26">
        <f>G24/C24-1</f>
      </c>
      <c r="H26">
        <f>H24/D24-1</f>
      </c>
      <c r="I26">
        <f>I24/E24-1</f>
      </c>
      <c r="J26">
        <f>J24/F24-1</f>
      </c>
      <c r="K26">
        <f>K24/G24-1</f>
      </c>
      <c r="L26">
        <f>L24/H24-1</f>
      </c>
      <c r="M26">
        <f>M24/I24-1</f>
      </c>
      <c r="N26">
        <f>N24/J24-1</f>
      </c>
      <c r="O26">
        <f>O24/K24-1</f>
      </c>
      <c r="P26">
        <f>P24/L24-1</f>
      </c>
      <c r="Q26">
        <f>Q24/M24-1</f>
      </c>
      <c r="R26">
        <f>R24/N24-1</f>
      </c>
      <c r="S26">
        <f>S24/O24-1</f>
      </c>
      <c r="T26">
        <f>T24/P24-1</f>
      </c>
      <c r="U26">
        <f>U24/Q24-1</f>
      </c>
      <c r="V26">
        <f>V24/R24-1</f>
      </c>
      <c r="W26">
        <f>W24/S24-1</f>
      </c>
      <c r="X26">
        <f>X24/T24-1</f>
      </c>
      <c r="Y26">
        <f>Y24/U24-1</f>
      </c>
    </row>
    <row r="27" spans="1:25" x14ac:dyDescent="0.25">
      <c r="A27" t="s">
        <v>29</v>
      </c>
      <c r="B27">
        <v>10</v>
      </c>
      <c r="C27">
        <v>8</v>
      </c>
      <c r="D27">
        <v>6</v>
      </c>
      <c r="F27">
        <v>10</v>
      </c>
      <c r="G27">
        <v>11</v>
      </c>
      <c r="H27">
        <v>10</v>
      </c>
      <c r="J27">
        <v>28</v>
      </c>
      <c r="K27">
        <v>26</v>
      </c>
      <c r="L27">
        <v>86</v>
      </c>
      <c r="M27">
        <v>157</v>
      </c>
      <c r="N27">
        <v>213</v>
      </c>
      <c r="O27">
        <v>238</v>
      </c>
      <c r="P27">
        <v>282</v>
      </c>
      <c r="Q27">
        <v>333</v>
      </c>
      <c r="R27">
        <v>350</v>
      </c>
      <c r="S27">
        <v>348</v>
      </c>
      <c r="T27">
        <v>429</v>
      </c>
      <c r="U27">
        <v>442</v>
      </c>
      <c r="V27">
        <v>400</v>
      </c>
      <c r="W27">
        <v>392</v>
      </c>
      <c r="X27">
        <v>439</v>
      </c>
      <c r="Y27">
        <v>449</v>
      </c>
    </row>
    <row r="28" spans="1:25" x14ac:dyDescent="0.25">
      <c r="A28" t="s">
        <v>30</v>
      </c>
      <c r="B28">
        <v>-169</v>
      </c>
      <c r="C28">
        <v>-170</v>
      </c>
      <c r="D28">
        <v>-163</v>
      </c>
      <c r="F28">
        <v>99</v>
      </c>
      <c r="G28">
        <v>75</v>
      </c>
      <c r="H28">
        <v>126</v>
      </c>
      <c r="J28">
        <v>61</v>
      </c>
      <c r="K28">
        <v>-44</v>
      </c>
      <c r="L28">
        <v>-53</v>
      </c>
      <c r="M28">
        <v>-33</v>
      </c>
      <c r="N28">
        <v>-29</v>
      </c>
      <c r="O28">
        <v>-28</v>
      </c>
      <c r="P28">
        <v>-38</v>
      </c>
      <c r="Q28">
        <v>-61</v>
      </c>
      <c r="R28">
        <v>-76</v>
      </c>
      <c r="S28">
        <v>-86</v>
      </c>
      <c r="T28">
        <v>-92</v>
      </c>
      <c r="U28">
        <v>-96</v>
      </c>
      <c r="V28">
        <v>-91</v>
      </c>
      <c r="W28">
        <v>-86</v>
      </c>
      <c r="X28">
        <v>-76</v>
      </c>
      <c r="Y28">
        <v>-85</v>
      </c>
    </row>
    <row r="29" spans="1:25" x14ac:dyDescent="0.25">
      <c r="A29" t="s">
        <v>31</v>
      </c>
      <c r="B29">
        <v>-54</v>
      </c>
      <c r="C29">
        <v>-15</v>
      </c>
      <c r="D29">
        <v>-97</v>
      </c>
      <c r="F29">
        <v>28</v>
      </c>
      <c r="G29">
        <v>45</v>
      </c>
      <c r="J29">
        <v>56</v>
      </c>
      <c r="K29">
        <v>28</v>
      </c>
      <c r="L29">
        <v>-85</v>
      </c>
      <c r="M29">
        <v>-42</v>
      </c>
      <c r="N29">
        <v>-48</v>
      </c>
      <c r="O29">
        <v>328</v>
      </c>
      <c r="P29">
        <v>37</v>
      </c>
      <c r="Q29">
        <v>-145</v>
      </c>
      <c r="R29">
        <v>443</v>
      </c>
      <c r="S29">
        <v>-80</v>
      </c>
      <c r="T29">
        <v>-263</v>
      </c>
      <c r="U29">
        <v>595</v>
      </c>
      <c r="V29">
        <v>-119</v>
      </c>
      <c r="W29">
        <v>320</v>
      </c>
      <c r="X29">
        <v>-28</v>
      </c>
      <c r="Y29">
        <v>-592</v>
      </c>
    </row>
    <row r="30" spans="1:25" x14ac:dyDescent="0.25">
      <c r="A30" t="s">
        <v>32</v>
      </c>
      <c r="B30">
        <v>70</v>
      </c>
      <c r="C30">
        <v>150</v>
      </c>
      <c r="D30">
        <v>555</v>
      </c>
      <c r="F30">
        <v>533</v>
      </c>
      <c r="G30">
        <v>1293</v>
      </c>
      <c r="H30">
        <v>1882</v>
      </c>
      <c r="J30">
        <v>3626</v>
      </c>
      <c r="K30">
        <v>2474</v>
      </c>
      <c r="L30">
        <v>3636</v>
      </c>
      <c r="M30">
        <v>3983</v>
      </c>
      <c r="N30">
        <v>2800</v>
      </c>
      <c r="O30">
        <v>2937</v>
      </c>
      <c r="P30">
        <v>2045</v>
      </c>
      <c r="Q30">
        <v>2191</v>
      </c>
      <c r="R30">
        <v>1888</v>
      </c>
      <c r="S30">
        <v>1787</v>
      </c>
      <c r="T30">
        <v>2791</v>
      </c>
      <c r="U30">
        <v>2524</v>
      </c>
      <c r="V30">
        <v>589</v>
      </c>
      <c r="W30">
        <v>1549</v>
      </c>
      <c r="X30">
        <v>1959</v>
      </c>
      <c r="Y30">
        <v>1181</v>
      </c>
    </row>
    <row r="31" spans="1:25" x14ac:dyDescent="0.25">
      <c r="A31" t="s">
        <v>33</v>
      </c>
      <c r="B31">
        <v>2</v>
      </c>
      <c r="C31">
        <v>21</v>
      </c>
      <c r="D31">
        <v>186</v>
      </c>
      <c r="F31">
        <v>69</v>
      </c>
      <c r="G31">
        <v>115</v>
      </c>
      <c r="H31">
        <v>223</v>
      </c>
      <c r="J31">
        <v>346</v>
      </c>
      <c r="K31">
        <v>205</v>
      </c>
      <c r="L31">
        <v>305</v>
      </c>
      <c r="M31">
        <v>276</v>
      </c>
      <c r="N31">
        <v>261</v>
      </c>
      <c r="O31">
        <v>323</v>
      </c>
      <c r="P31">
        <v>167</v>
      </c>
      <c r="Q31">
        <v>5752</v>
      </c>
      <c r="R31">
        <v>483</v>
      </c>
      <c r="S31">
        <v>371</v>
      </c>
      <c r="T31">
        <v>602</v>
      </c>
      <c r="U31">
        <v>381</v>
      </c>
      <c r="V31">
        <v>169</v>
      </c>
      <c r="W31">
        <v>359</v>
      </c>
      <c r="X31">
        <v>570</v>
      </c>
      <c r="Y31">
        <v>325</v>
      </c>
    </row>
    <row r="32" spans="1:25" x14ac:dyDescent="0.25">
      <c r="A32" t="s">
        <v>34</v>
      </c>
      <c r="B32">
        <v>16</v>
      </c>
      <c r="C32">
        <v>104</v>
      </c>
      <c r="D32">
        <v>331</v>
      </c>
      <c r="F32">
        <v>438</v>
      </c>
      <c r="G32">
        <v>1142</v>
      </c>
      <c r="H32">
        <v>1618</v>
      </c>
      <c r="J32">
        <v>3318</v>
      </c>
      <c r="K32">
        <v>2259</v>
      </c>
      <c r="L32">
        <v>3292</v>
      </c>
      <c r="M32">
        <v>3687</v>
      </c>
      <c r="N32">
        <v>2513</v>
      </c>
      <c r="O32">
        <v>2703</v>
      </c>
      <c r="P32">
        <v>1853</v>
      </c>
      <c r="Q32">
        <v>7928</v>
      </c>
      <c r="R32">
        <v>1390</v>
      </c>
      <c r="S32">
        <v>1400</v>
      </c>
      <c r="T32">
        <v>2173</v>
      </c>
      <c r="U32">
        <v>2128</v>
      </c>
      <c r="V32">
        <v>409</v>
      </c>
      <c r="W32">
        <v>1172</v>
      </c>
      <c r="X32">
        <v>1373</v>
      </c>
      <c r="Y32">
        <v>840</v>
      </c>
    </row>
    <row r="33" spans="1:25" x14ac:dyDescent="0.25">
      <c r="A33" t="s">
        <v>35</v>
      </c>
      <c r="B33">
        <f>B32/B$9</f>
      </c>
      <c r="C33">
        <f>C32/C$9</f>
      </c>
      <c r="D33">
        <f>D32/D$9</f>
      </c>
      <c r="E33">
        <f>E32/E$9</f>
      </c>
      <c r="F33">
        <f>F32/F$9</f>
      </c>
      <c r="G33">
        <f>G32/G$9</f>
      </c>
      <c r="H33">
        <f>H32/H$9</f>
      </c>
      <c r="I33">
        <f>I32/I$9</f>
      </c>
      <c r="J33">
        <f>J32/J$9</f>
      </c>
      <c r="K33">
        <f>K32/K$9</f>
      </c>
      <c r="L33">
        <f>L32/L$9</f>
      </c>
      <c r="M33">
        <f>M32/M$9</f>
      </c>
      <c r="N33">
        <f>N32/N$9</f>
      </c>
      <c r="O33">
        <f>O32/O$9</f>
      </c>
      <c r="P33">
        <f>P32/P$9</f>
      </c>
      <c r="Q33">
        <f>Q32/Q$9</f>
      </c>
      <c r="R33">
        <f>R32/R$9</f>
      </c>
      <c r="S33">
        <f>S32/S$9</f>
      </c>
      <c r="T33">
        <f>T32/T$9</f>
      </c>
      <c r="U33">
        <f>U32/U$9</f>
      </c>
      <c r="V33">
        <f>V32/V$9</f>
      </c>
      <c r="W33">
        <f>W32/W$9</f>
      </c>
      <c r="X33">
        <f>X32/X$9</f>
      </c>
      <c r="Y33">
        <f>Y32/Y$9</f>
      </c>
    </row>
    <row r="34" spans="1:25" x14ac:dyDescent="0.25">
      <c r="A34" t="s">
        <v>36</v>
      </c>
      <c r="F34">
        <f>F32/B32-1</f>
      </c>
      <c r="G34">
        <f>G32/C32-1</f>
      </c>
      <c r="H34">
        <f>H32/D32-1</f>
      </c>
      <c r="I34">
        <f>I32/E32-1</f>
      </c>
      <c r="J34">
        <f>J32/F32-1</f>
      </c>
      <c r="K34">
        <f>K32/G32-1</f>
      </c>
      <c r="L34">
        <f>L32/H32-1</f>
      </c>
      <c r="M34">
        <f>M32/I32-1</f>
      </c>
      <c r="N34">
        <f>N32/J32-1</f>
      </c>
      <c r="O34">
        <f>O32/K32-1</f>
      </c>
      <c r="P34">
        <f>P32/L32-1</f>
      </c>
      <c r="Q34">
        <f>Q32/M32-1</f>
      </c>
      <c r="R34">
        <f>R32/N32-1</f>
      </c>
      <c r="S34">
        <f>S32/O32-1</f>
      </c>
      <c r="T34">
        <f>T32/P32-1</f>
      </c>
      <c r="U34">
        <f>U32/Q32-1</f>
      </c>
      <c r="V34">
        <f>V32/R32-1</f>
      </c>
      <c r="W34">
        <f>W32/S32-1</f>
      </c>
      <c r="X34">
        <f>X32/T32-1</f>
      </c>
      <c r="Y34">
        <f>Y32/U32-1</f>
      </c>
    </row>
    <row r="35" spans="1:25" x14ac:dyDescent="0.25">
      <c r="A35" t="s">
        <v>37</v>
      </c>
      <c r="B35">
        <v>0.02</v>
      </c>
      <c r="C35">
        <v>0.11</v>
      </c>
      <c r="D35">
        <v>0.32</v>
      </c>
      <c r="F35">
        <v>0.46</v>
      </c>
      <c r="G35">
        <v>1.18</v>
      </c>
      <c r="H35">
        <v>1.62</v>
      </c>
      <c r="J35">
        <v>3.2</v>
      </c>
      <c r="K35">
        <v>0.73</v>
      </c>
      <c r="L35">
        <v>1.05</v>
      </c>
      <c r="M35">
        <v>1.18</v>
      </c>
      <c r="N35">
        <v>0.8</v>
      </c>
      <c r="O35">
        <v>0.85</v>
      </c>
      <c r="P35">
        <v>0.58</v>
      </c>
      <c r="Q35">
        <v>2.49</v>
      </c>
      <c r="R35">
        <v>0.45</v>
      </c>
      <c r="S35">
        <v>0.44</v>
      </c>
      <c r="T35">
        <v>0.68</v>
      </c>
      <c r="U35">
        <v>0.66</v>
      </c>
      <c r="V35">
        <v>0.13</v>
      </c>
      <c r="W35">
        <v>0.36</v>
      </c>
      <c r="X35">
        <v>0.43</v>
      </c>
      <c r="Y35">
        <v>0.26</v>
      </c>
    </row>
    <row r="36" spans="1:25" x14ac:dyDescent="0.25">
      <c r="A36" t="s">
        <v>38</v>
      </c>
      <c r="B36">
        <v>0.02</v>
      </c>
      <c r="C36">
        <v>0.1</v>
      </c>
      <c r="D36">
        <v>0.27</v>
      </c>
      <c r="F36">
        <v>0.39</v>
      </c>
      <c r="G36">
        <v>1.02</v>
      </c>
      <c r="H36">
        <v>1.44</v>
      </c>
      <c r="J36">
        <v>2.86</v>
      </c>
      <c r="K36">
        <v>0.65</v>
      </c>
      <c r="L36">
        <v>0.95</v>
      </c>
      <c r="M36">
        <v>1.07</v>
      </c>
      <c r="N36">
        <v>0.73</v>
      </c>
      <c r="O36">
        <v>0.78</v>
      </c>
      <c r="P36">
        <v>0.53</v>
      </c>
      <c r="Q36">
        <v>2.27</v>
      </c>
      <c r="R36">
        <v>0.41</v>
      </c>
      <c r="S36">
        <v>0.4</v>
      </c>
      <c r="T36">
        <v>0.62</v>
      </c>
      <c r="U36">
        <v>0.6</v>
      </c>
      <c r="V36">
        <v>0.12</v>
      </c>
      <c r="W36">
        <v>0.33</v>
      </c>
      <c r="X36">
        <v>0.39</v>
      </c>
      <c r="Y36">
        <v>0.24</v>
      </c>
    </row>
    <row r="37" spans="1:25" x14ac:dyDescent="0.25">
      <c r="A37" t="s">
        <v>39</v>
      </c>
      <c r="B37">
        <v>915</v>
      </c>
      <c r="C37">
        <v>928</v>
      </c>
      <c r="D37">
        <v>937</v>
      </c>
      <c r="F37">
        <v>961</v>
      </c>
      <c r="G37">
        <v>971</v>
      </c>
      <c r="H37">
        <v>998</v>
      </c>
      <c r="J37">
        <v>1034</v>
      </c>
      <c r="K37">
        <v>3111</v>
      </c>
      <c r="L37">
        <v>3146</v>
      </c>
      <c r="M37">
        <v>3160</v>
      </c>
      <c r="N37">
        <v>3166</v>
      </c>
      <c r="O37">
        <v>3171</v>
      </c>
      <c r="P37">
        <v>3176</v>
      </c>
      <c r="Q37">
        <v>3181</v>
      </c>
      <c r="R37">
        <v>3186</v>
      </c>
      <c r="S37">
        <v>3191</v>
      </c>
      <c r="T37">
        <v>3198</v>
      </c>
      <c r="U37">
        <v>3213</v>
      </c>
      <c r="V37">
        <v>3218</v>
      </c>
      <c r="W37">
        <v>3223</v>
      </c>
      <c r="X37">
        <v>3227</v>
      </c>
      <c r="Y37">
        <v>3231</v>
      </c>
    </row>
    <row r="38" spans="1:25" x14ac:dyDescent="0.25">
      <c r="A38" t="s">
        <v>40</v>
      </c>
      <c r="B38">
        <v>994</v>
      </c>
      <c r="C38">
        <v>1036</v>
      </c>
      <c r="D38">
        <v>1105</v>
      </c>
      <c r="F38">
        <v>1133</v>
      </c>
      <c r="G38">
        <v>1119</v>
      </c>
      <c r="H38">
        <v>1123</v>
      </c>
      <c r="J38">
        <v>1157</v>
      </c>
      <c r="K38">
        <v>3464</v>
      </c>
      <c r="L38">
        <v>3468</v>
      </c>
      <c r="M38">
        <v>3471</v>
      </c>
      <c r="N38">
        <v>3468</v>
      </c>
      <c r="O38">
        <v>3478</v>
      </c>
      <c r="P38">
        <v>3493</v>
      </c>
      <c r="Q38">
        <v>3492</v>
      </c>
      <c r="R38">
        <v>3484</v>
      </c>
      <c r="S38">
        <v>3481</v>
      </c>
      <c r="T38">
        <v>3497</v>
      </c>
      <c r="U38">
        <v>3517</v>
      </c>
      <c r="V38">
        <v>3521</v>
      </c>
      <c r="W38">
        <v>3519</v>
      </c>
      <c r="X38">
        <v>3526</v>
      </c>
      <c r="Y38">
        <v>3539</v>
      </c>
    </row>
    <row r="39" spans="1:25" x14ac:dyDescent="0.25">
      <c r="A39" t="s">
        <v>41</v>
      </c>
      <c r="B39">
        <v>34.93</v>
      </c>
      <c r="C39">
        <v>71.99</v>
      </c>
      <c r="D39">
        <v>143</v>
      </c>
      <c r="E39">
        <v>235.22</v>
      </c>
      <c r="F39">
        <v>222.64</v>
      </c>
      <c r="G39">
        <v>226.57</v>
      </c>
      <c r="H39">
        <v>258.49</v>
      </c>
      <c r="I39">
        <v>352.26</v>
      </c>
      <c r="J39">
        <v>359.2</v>
      </c>
      <c r="K39">
        <v>224.47</v>
      </c>
      <c r="L39">
        <v>265.25</v>
      </c>
      <c r="M39">
        <v>123.18</v>
      </c>
      <c r="N39">
        <v>207.46</v>
      </c>
      <c r="O39">
        <v>261.77</v>
      </c>
      <c r="P39">
        <v>250.22</v>
      </c>
      <c r="Q39">
        <v>248.48</v>
      </c>
      <c r="R39">
        <v>175.79</v>
      </c>
      <c r="S39">
        <v>197.88</v>
      </c>
      <c r="T39">
        <v>261.63</v>
      </c>
      <c r="U39">
        <v>403.84</v>
      </c>
      <c r="V39">
        <v>259.16</v>
      </c>
      <c r="W39">
        <v>317.66</v>
      </c>
      <c r="X39">
        <v>444.72</v>
      </c>
      <c r="Y39">
        <v>449.72</v>
      </c>
    </row>
    <row r="40" spans="1:25" x14ac:dyDescent="0.25">
      <c r="A40" t="s">
        <v>42</v>
      </c>
      <c r="B40">
        <f>B39*B38</f>
      </c>
      <c r="C40">
        <f>C39*C38</f>
      </c>
      <c r="D40">
        <f>D39*D38</f>
      </c>
      <c r="E40">
        <f>E39*E38</f>
      </c>
      <c r="F40">
        <f>F39*F38</f>
      </c>
      <c r="G40">
        <f>G39*G38</f>
      </c>
      <c r="H40">
        <f>H39*H38</f>
      </c>
      <c r="I40">
        <f>I39*I38</f>
      </c>
      <c r="J40">
        <f>J39*J38</f>
      </c>
      <c r="K40">
        <f>K39*K38</f>
      </c>
      <c r="L40">
        <f>L39*L38</f>
      </c>
      <c r="M40">
        <f>M39*M38</f>
      </c>
      <c r="N40">
        <f>N39*N38</f>
      </c>
      <c r="O40">
        <f>O39*O38</f>
      </c>
      <c r="P40">
        <f>P39*P38</f>
      </c>
      <c r="Q40">
        <f>Q39*Q38</f>
      </c>
      <c r="R40">
        <f>R39*R38</f>
      </c>
      <c r="S40">
        <f>S39*S38</f>
      </c>
      <c r="T40">
        <f>T39*T38</f>
      </c>
      <c r="U40">
        <f>U39*U38</f>
      </c>
      <c r="V40">
        <f>V39*V38</f>
      </c>
      <c r="W40">
        <f>W39*W38</f>
      </c>
      <c r="X40">
        <f>X39*X38</f>
      </c>
      <c r="Y40">
        <f>Y39*Y38</f>
      </c>
    </row>
    <row r="41" spans="1:25" x14ac:dyDescent="0.25">
      <c r="A41" t="s">
        <v>43</v>
      </c>
      <c r="E41">
        <f>E39/SUM(B36:E36)</f>
      </c>
      <c r="F41">
        <f>F39/SUM(C36:F36)</f>
      </c>
      <c r="G41">
        <f>G39/SUM(D36:G36)</f>
      </c>
      <c r="H41">
        <f>H39/SUM(E36:H36)</f>
      </c>
      <c r="I41">
        <f>I39/SUM(F36:I36)</f>
      </c>
      <c r="J41">
        <f>J39/SUM(G36:J36)</f>
      </c>
      <c r="K41">
        <f>K39/SUM(H36:K36)</f>
      </c>
      <c r="L41">
        <f>L39/SUM(I36:L36)</f>
      </c>
      <c r="M41">
        <f>M39/SUM(J36:M36)</f>
      </c>
      <c r="N41">
        <f>N39/SUM(K36:N36)</f>
      </c>
      <c r="O41">
        <f>O39/SUM(L36:O36)</f>
      </c>
      <c r="P41">
        <f>P39/SUM(M36:P36)</f>
      </c>
      <c r="Q41">
        <f>Q39/SUM(N36:Q36)</f>
      </c>
      <c r="R41">
        <f>R39/SUM(O36:R36)</f>
      </c>
      <c r="S41">
        <f>S39/SUM(P36:S36)</f>
      </c>
      <c r="T41">
        <f>T39/SUM(Q36:T36)</f>
      </c>
      <c r="U41">
        <f>U39/SUM(R36:U36)</f>
      </c>
      <c r="V41">
        <f>V39/SUM(S36:V36)</f>
      </c>
      <c r="W41">
        <f>W39/SUM(T36:W36)</f>
      </c>
      <c r="X41">
        <f>X39/SUM(U36:X36)</f>
      </c>
      <c r="Y41">
        <f>Y39/SUM(V36:Y36)</f>
      </c>
    </row>
    <row r="42" spans="1:25" x14ac:dyDescent="0.25">
      <c r="A42" t="s">
        <v>44</v>
      </c>
      <c r="H42">
        <f>AVERAGE(E41:H41)</f>
      </c>
      <c r="I42">
        <f>AVERAGE(F41:I41)</f>
      </c>
      <c r="J42">
        <f>AVERAGE(G41:J41)</f>
      </c>
      <c r="K42">
        <f>AVERAGE(H41:K41)</f>
      </c>
      <c r="L42">
        <f>AVERAGE(I41:L41)</f>
      </c>
      <c r="M42">
        <f>AVERAGE(J41:M41)</f>
      </c>
      <c r="N42">
        <f>AVERAGE(K41:N41)</f>
      </c>
      <c r="O42">
        <f>AVERAGE(L41:O41)</f>
      </c>
      <c r="P42">
        <f>AVERAGE(M41:P41)</f>
      </c>
      <c r="Q42">
        <f>AVERAGE(N41:Q41)</f>
      </c>
      <c r="R42">
        <f>AVERAGE(O41:R41)</f>
      </c>
      <c r="S42">
        <f>AVERAGE(P41:S41)</f>
      </c>
      <c r="T42">
        <f>AVERAGE(Q41:T41)</f>
      </c>
      <c r="U42">
        <f>AVERAGE(R41:U41)</f>
      </c>
      <c r="V42">
        <f>AVERAGE(S41:V41)</f>
      </c>
      <c r="W42">
        <f>AVERAGE(T41:W41)</f>
      </c>
      <c r="X42">
        <f>AVERAGE(U41:X41)</f>
      </c>
      <c r="Y42">
        <f>AVERAGE(V41:Y41)</f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TSLA業績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2026-02-22T19:36:54Z</dcterms:created>
  <dcterms:modified xsi:type="dcterms:W3CDTF">2026-02-22T19:36:54Z</dcterms:modified>
</cp:coreProperties>
</file>