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M業績" state="visible" r:id="rId4"/>
  </sheets>
  <calcPr calcId="171027"/>
</workbook>
</file>

<file path=xl/sharedStrings.xml><?xml version="1.0" encoding="utf-8"?>
<sst xmlns="http://schemas.openxmlformats.org/spreadsheetml/2006/main" count="44" uniqueCount="21">
  <si>
    <t>Q1</t>
  </si>
  <si>
    <t>Q2</t>
  </si>
  <si>
    <t>Q3</t>
  </si>
  <si>
    <t>Q4</t>
  </si>
  <si>
    <t>売上高 (NT$M)</t>
  </si>
  <si>
    <t xml:space="preserve">  前期比</t>
  </si>
  <si>
    <t xml:space="preserve">  前年比</t>
  </si>
  <si>
    <t>粗利益 (NT$M)</t>
  </si>
  <si>
    <t xml:space="preserve">  粗利率</t>
  </si>
  <si>
    <t>営業費用 (NT$M)</t>
  </si>
  <si>
    <t xml:space="preserve">  売上比</t>
  </si>
  <si>
    <t>営業利益 (NT$M)</t>
  </si>
  <si>
    <t xml:space="preserve">  営業利益率</t>
  </si>
  <si>
    <t>営業外収支 (NT$M)</t>
  </si>
  <si>
    <t>純利益 (NT$M)</t>
  </si>
  <si>
    <t xml:space="preserve">  純利益率</t>
  </si>
  <si>
    <t>EPS (NT$)</t>
  </si>
  <si>
    <t>ADR EPS (US$)</t>
  </si>
  <si>
    <t>株価 ADR (US$)</t>
  </si>
  <si>
    <t>PER (倍)</t>
  </si>
  <si>
    <t>PER 4Q平均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</si>
</sst>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"/>
  </numFmts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FormatPr defaultRowHeight="15" outlineLevelRow="0" outlineLevelCol="0" x14ac:dyDescent="55"/>
  <cols>
    <col min="1" max="1" width="22" customWidth="1"/>
    <col min="2" max="25" width="13" customWidth="1"/>
  </cols>
  <sheetData>
    <row r="1" spans="2:22" x14ac:dyDescent="0.25">
      <c r="B1" s="1">
        <v>2020</v>
      </c>
      <c r="F1" s="1">
        <v>2021</v>
      </c>
      <c r="J1" s="1">
        <v>2022</v>
      </c>
      <c r="N1" s="1">
        <v>2023</v>
      </c>
      <c r="R1" s="1">
        <v>2024</v>
      </c>
      <c r="V1" s="1">
        <v>2025</v>
      </c>
    </row>
    <row r="2" spans="2:2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0</v>
      </c>
      <c r="K2" s="2" t="s">
        <v>1</v>
      </c>
      <c r="L2" s="2" t="s">
        <v>2</v>
      </c>
      <c r="M2" s="2" t="s">
        <v>3</v>
      </c>
      <c r="N2" s="2" t="s">
        <v>0</v>
      </c>
      <c r="O2" s="2" t="s">
        <v>1</v>
      </c>
      <c r="P2" s="2" t="s">
        <v>2</v>
      </c>
      <c r="Q2" s="2" t="s">
        <v>3</v>
      </c>
      <c r="R2" s="2" t="s">
        <v>0</v>
      </c>
      <c r="S2" s="2" t="s">
        <v>1</v>
      </c>
      <c r="T2" s="2" t="s">
        <v>2</v>
      </c>
      <c r="U2" s="2" t="s">
        <v>3</v>
      </c>
      <c r="V2" s="2" t="s">
        <v>0</v>
      </c>
      <c r="W2" s="2" t="s">
        <v>1</v>
      </c>
      <c r="X2" s="2" t="s">
        <v>2</v>
      </c>
      <c r="Y2" s="2" t="s">
        <v>3</v>
      </c>
    </row>
    <row r="3" spans="1:25" x14ac:dyDescent="0.25">
      <c r="A3" s="3" t="s">
        <v>4</v>
      </c>
      <c r="B3" s="4">
        <v>310597</v>
      </c>
      <c r="C3" s="4">
        <v>310699</v>
      </c>
      <c r="D3" s="4">
        <v>356426</v>
      </c>
      <c r="E3" s="4">
        <v>361533</v>
      </c>
      <c r="F3" s="4">
        <v>362410</v>
      </c>
      <c r="G3" s="4">
        <v>372145</v>
      </c>
      <c r="H3" s="4">
        <v>414671</v>
      </c>
      <c r="I3" s="4">
        <v>438189</v>
      </c>
      <c r="J3" s="4">
        <v>491076</v>
      </c>
      <c r="K3" s="4">
        <v>534141</v>
      </c>
      <c r="L3" s="4">
        <v>613142</v>
      </c>
      <c r="M3" s="4">
        <v>625532</v>
      </c>
      <c r="N3" s="4">
        <v>508633</v>
      </c>
      <c r="O3" s="4">
        <v>480841</v>
      </c>
      <c r="P3" s="4">
        <v>546733</v>
      </c>
      <c r="Q3" s="4">
        <v>625529</v>
      </c>
      <c r="R3" s="4">
        <v>592644</v>
      </c>
      <c r="S3" s="4">
        <v>673510</v>
      </c>
      <c r="T3" s="4">
        <v>759692</v>
      </c>
      <c r="U3" s="4">
        <v>868461</v>
      </c>
      <c r="V3" s="4">
        <v>839254</v>
      </c>
      <c r="W3" s="4">
        <v>933792</v>
      </c>
      <c r="X3" s="4">
        <v>989918</v>
      </c>
      <c r="Y3" s="4">
        <v>1046090</v>
      </c>
    </row>
    <row r="4" spans="1:25" x14ac:dyDescent="0.25">
      <c r="A4" s="5" t="s">
        <v>5</v>
      </c>
      <c r="B4" s="6"/>
      <c r="C4" s="6">
        <f>C3/B3</f>
      </c>
      <c r="D4" s="6">
        <f>D3/C3</f>
      </c>
      <c r="E4" s="6">
        <f>E3/D3</f>
      </c>
      <c r="F4" s="6">
        <f>F3/E3</f>
      </c>
      <c r="G4" s="6">
        <f>G3/F3</f>
      </c>
      <c r="H4" s="6">
        <f>H3/G3</f>
      </c>
      <c r="I4" s="6">
        <f>I3/H3</f>
      </c>
      <c r="J4" s="6">
        <f>J3/I3</f>
      </c>
      <c r="K4" s="6">
        <f>K3/J3</f>
      </c>
      <c r="L4" s="6">
        <f>L3/K3</f>
      </c>
      <c r="M4" s="6">
        <f>M3/L3</f>
      </c>
      <c r="N4" s="6">
        <f>N3/M3</f>
      </c>
      <c r="O4" s="6">
        <f>O3/N3</f>
      </c>
      <c r="P4" s="6">
        <f>P3/O3</f>
      </c>
      <c r="Q4" s="6">
        <f>Q3/P3</f>
      </c>
      <c r="R4" s="6">
        <f>R3/Q3</f>
      </c>
      <c r="S4" s="6">
        <f>S3/R3</f>
      </c>
      <c r="T4" s="6">
        <f>T3/S3</f>
      </c>
      <c r="U4" s="6">
        <f>U3/T3</f>
      </c>
      <c r="V4" s="6">
        <f>V3/U3</f>
      </c>
      <c r="W4" s="6">
        <f>W3/V3</f>
      </c>
      <c r="X4" s="6">
        <f>X3/W3</f>
      </c>
      <c r="Y4" s="6">
        <f>Y3/X3</f>
      </c>
    </row>
    <row r="5" spans="1:25" x14ac:dyDescent="0.25">
      <c r="A5" s="5" t="s">
        <v>6</v>
      </c>
      <c r="B5" s="6"/>
      <c r="C5" s="6"/>
      <c r="D5" s="6"/>
      <c r="E5" s="6"/>
      <c r="F5" s="6">
        <f>F3/B3</f>
      </c>
      <c r="G5" s="6">
        <f>G3/C3</f>
      </c>
      <c r="H5" s="6">
        <f>H3/D3</f>
      </c>
      <c r="I5" s="6">
        <f>I3/E3</f>
      </c>
      <c r="J5" s="6">
        <f>J3/F3</f>
      </c>
      <c r="K5" s="6">
        <f>K3/G3</f>
      </c>
      <c r="L5" s="6">
        <f>L3/H3</f>
      </c>
      <c r="M5" s="6">
        <f>M3/I3</f>
      </c>
      <c r="N5" s="6">
        <f>N3/J3</f>
      </c>
      <c r="O5" s="6">
        <f>O3/K3</f>
      </c>
      <c r="P5" s="6">
        <f>P3/L3</f>
      </c>
      <c r="Q5" s="6">
        <f>Q3/M3</f>
      </c>
      <c r="R5" s="6">
        <f>R3/N3</f>
      </c>
      <c r="S5" s="6">
        <f>S3/O3</f>
      </c>
      <c r="T5" s="6">
        <f>T3/P3</f>
      </c>
      <c r="U5" s="6">
        <f>U3/Q3</f>
      </c>
      <c r="V5" s="6">
        <f>V3/R3</f>
      </c>
      <c r="W5" s="6">
        <f>W3/S3</f>
      </c>
      <c r="X5" s="6">
        <f>X3/T3</f>
      </c>
      <c r="Y5" s="6">
        <f>Y3/U3</f>
      </c>
    </row>
    <row r="6" spans="1:25" x14ac:dyDescent="0.25">
      <c r="A6" s="3" t="s">
        <v>7</v>
      </c>
      <c r="B6" s="4">
        <v>160777</v>
      </c>
      <c r="C6" s="4">
        <v>164623</v>
      </c>
      <c r="D6" s="4">
        <v>190494</v>
      </c>
      <c r="E6" s="4">
        <v>195236</v>
      </c>
      <c r="F6" s="4">
        <v>189839</v>
      </c>
      <c r="G6" s="4">
        <v>186197</v>
      </c>
      <c r="H6" s="4">
        <v>212746</v>
      </c>
      <c r="I6" s="4">
        <v>230755</v>
      </c>
      <c r="J6" s="4">
        <v>273203</v>
      </c>
      <c r="K6" s="4">
        <v>315468</v>
      </c>
      <c r="L6" s="4">
        <v>370499</v>
      </c>
      <c r="M6" s="4">
        <v>389185</v>
      </c>
      <c r="N6" s="4">
        <v>286500</v>
      </c>
      <c r="O6" s="4">
        <v>260200</v>
      </c>
      <c r="P6" s="4">
        <v>296643</v>
      </c>
      <c r="Q6" s="4">
        <v>331768</v>
      </c>
      <c r="R6" s="4">
        <v>314505</v>
      </c>
      <c r="S6" s="4">
        <v>358125</v>
      </c>
      <c r="T6" s="4">
        <v>439345</v>
      </c>
      <c r="U6" s="4">
        <v>512379</v>
      </c>
      <c r="V6" s="4">
        <v>493395</v>
      </c>
      <c r="W6" s="4">
        <v>547369</v>
      </c>
      <c r="X6" s="4">
        <v>588543</v>
      </c>
      <c r="Y6" s="4">
        <v>651987</v>
      </c>
    </row>
    <row r="7" spans="1:25" x14ac:dyDescent="0.25">
      <c r="A7" s="5" t="s">
        <v>8</v>
      </c>
      <c r="B7" s="6">
        <f>B6/B3</f>
      </c>
      <c r="C7" s="6">
        <f>C6/C3</f>
      </c>
      <c r="D7" s="6">
        <f>D6/D3</f>
      </c>
      <c r="E7" s="6">
        <f>E6/E3</f>
      </c>
      <c r="F7" s="6">
        <f>F6/F3</f>
      </c>
      <c r="G7" s="6">
        <f>G6/G3</f>
      </c>
      <c r="H7" s="6">
        <f>H6/H3</f>
      </c>
      <c r="I7" s="6">
        <f>I6/I3</f>
      </c>
      <c r="J7" s="6">
        <f>J6/J3</f>
      </c>
      <c r="K7" s="6">
        <f>K6/K3</f>
      </c>
      <c r="L7" s="6">
        <f>L6/L3</f>
      </c>
      <c r="M7" s="6">
        <f>M6/M3</f>
      </c>
      <c r="N7" s="6">
        <f>N6/N3</f>
      </c>
      <c r="O7" s="6">
        <f>O6/O3</f>
      </c>
      <c r="P7" s="6">
        <f>P6/P3</f>
      </c>
      <c r="Q7" s="6">
        <f>Q6/Q3</f>
      </c>
      <c r="R7" s="6">
        <f>R6/R3</f>
      </c>
      <c r="S7" s="6">
        <f>S6/S3</f>
      </c>
      <c r="T7" s="6">
        <f>T6/T3</f>
      </c>
      <c r="U7" s="6">
        <f>U6/U3</f>
      </c>
      <c r="V7" s="6">
        <f>V6/V3</f>
      </c>
      <c r="W7" s="6">
        <f>W6/W3</f>
      </c>
      <c r="X7" s="6">
        <f>X6/X3</f>
      </c>
      <c r="Y7" s="6">
        <f>Y6/Y3</f>
      </c>
    </row>
    <row r="8" spans="1:25" x14ac:dyDescent="0.25">
      <c r="A8" s="5" t="s">
        <v>6</v>
      </c>
      <c r="B8" s="6"/>
      <c r="C8" s="6"/>
      <c r="D8" s="6"/>
      <c r="E8" s="6"/>
      <c r="F8" s="6">
        <f>F6/B6</f>
      </c>
      <c r="G8" s="6">
        <f>G6/C6</f>
      </c>
      <c r="H8" s="6">
        <f>H6/D6</f>
      </c>
      <c r="I8" s="6">
        <f>I6/E6</f>
      </c>
      <c r="J8" s="6">
        <f>J6/F6</f>
      </c>
      <c r="K8" s="6">
        <f>K6/G6</f>
      </c>
      <c r="L8" s="6">
        <f>L6/H6</f>
      </c>
      <c r="M8" s="6">
        <f>M6/I6</f>
      </c>
      <c r="N8" s="6">
        <f>N6/J6</f>
      </c>
      <c r="O8" s="6">
        <f>O6/K6</f>
      </c>
      <c r="P8" s="6">
        <f>P6/L6</f>
      </c>
      <c r="Q8" s="6">
        <f>Q6/M6</f>
      </c>
      <c r="R8" s="6">
        <f>R6/N6</f>
      </c>
      <c r="S8" s="6">
        <f>S6/O6</f>
      </c>
      <c r="T8" s="6">
        <f>T6/P6</f>
      </c>
      <c r="U8" s="6">
        <f>U6/Q6</f>
      </c>
      <c r="V8" s="6">
        <f>V6/R6</f>
      </c>
      <c r="W8" s="6">
        <f>W6/S6</f>
      </c>
      <c r="X8" s="6">
        <f>X6/T6</f>
      </c>
      <c r="Y8" s="6">
        <f>Y6/U6</f>
      </c>
    </row>
    <row r="9" spans="1:25" x14ac:dyDescent="0.25">
      <c r="A9" s="3" t="s">
        <v>9</v>
      </c>
      <c r="B9" s="4">
        <v>32255</v>
      </c>
      <c r="C9" s="4">
        <v>33529</v>
      </c>
      <c r="D9" s="4">
        <v>40446</v>
      </c>
      <c r="E9" s="4">
        <v>38116</v>
      </c>
      <c r="F9" s="4">
        <v>39301</v>
      </c>
      <c r="G9" s="4">
        <v>40530</v>
      </c>
      <c r="H9" s="4">
        <v>41742</v>
      </c>
      <c r="I9" s="4">
        <v>47983</v>
      </c>
      <c r="J9" s="4">
        <v>49413</v>
      </c>
      <c r="K9" s="4">
        <v>53344</v>
      </c>
      <c r="L9" s="4">
        <v>60175</v>
      </c>
      <c r="M9" s="4">
        <v>64144</v>
      </c>
      <c r="N9" s="4">
        <v>55262</v>
      </c>
      <c r="O9" s="4">
        <v>58242</v>
      </c>
      <c r="P9" s="4">
        <v>68578</v>
      </c>
      <c r="Q9" s="4">
        <v>71563</v>
      </c>
      <c r="R9" s="4">
        <v>65487</v>
      </c>
      <c r="S9" s="4">
        <v>71569</v>
      </c>
      <c r="T9" s="4">
        <v>78579</v>
      </c>
      <c r="U9" s="4">
        <v>86666</v>
      </c>
      <c r="V9" s="4">
        <v>86314</v>
      </c>
      <c r="W9" s="4">
        <v>83946</v>
      </c>
      <c r="X9" s="4">
        <v>87858</v>
      </c>
      <c r="Y9" s="4">
        <v>87084</v>
      </c>
    </row>
    <row r="10" spans="1:25" x14ac:dyDescent="0.25">
      <c r="A10" s="5" t="s">
        <v>10</v>
      </c>
      <c r="B10" s="6">
        <f>B9/B3</f>
      </c>
      <c r="C10" s="6">
        <f>C9/C3</f>
      </c>
      <c r="D10" s="6">
        <f>D9/D3</f>
      </c>
      <c r="E10" s="6">
        <f>E9/E3</f>
      </c>
      <c r="F10" s="6">
        <f>F9/F3</f>
      </c>
      <c r="G10" s="6">
        <f>G9/G3</f>
      </c>
      <c r="H10" s="6">
        <f>H9/H3</f>
      </c>
      <c r="I10" s="6">
        <f>I9/I3</f>
      </c>
      <c r="J10" s="6">
        <f>J9/J3</f>
      </c>
      <c r="K10" s="6">
        <f>K9/K3</f>
      </c>
      <c r="L10" s="6">
        <f>L9/L3</f>
      </c>
      <c r="M10" s="6">
        <f>M9/M3</f>
      </c>
      <c r="N10" s="6">
        <f>N9/N3</f>
      </c>
      <c r="O10" s="6">
        <f>O9/O3</f>
      </c>
      <c r="P10" s="6">
        <f>P9/P3</f>
      </c>
      <c r="Q10" s="6">
        <f>Q9/Q3</f>
      </c>
      <c r="R10" s="6">
        <f>R9/R3</f>
      </c>
      <c r="S10" s="6">
        <f>S9/S3</f>
      </c>
      <c r="T10" s="6">
        <f>T9/T3</f>
      </c>
      <c r="U10" s="6">
        <f>U9/U3</f>
      </c>
      <c r="V10" s="6">
        <f>V9/V3</f>
      </c>
      <c r="W10" s="6">
        <f>W9/W3</f>
      </c>
      <c r="X10" s="6">
        <f>X9/X3</f>
      </c>
      <c r="Y10" s="6">
        <f>Y9/Y3</f>
      </c>
    </row>
    <row r="11" spans="1:25" x14ac:dyDescent="0.25">
      <c r="A11" s="3" t="s">
        <v>11</v>
      </c>
      <c r="B11" s="4">
        <v>128522</v>
      </c>
      <c r="C11" s="4">
        <v>131094</v>
      </c>
      <c r="D11" s="4">
        <v>150048</v>
      </c>
      <c r="E11" s="4">
        <v>157120</v>
      </c>
      <c r="F11" s="4">
        <v>150538</v>
      </c>
      <c r="G11" s="4">
        <v>145667</v>
      </c>
      <c r="H11" s="4">
        <v>171004</v>
      </c>
      <c r="I11" s="4">
        <v>182772</v>
      </c>
      <c r="J11" s="4">
        <v>223790</v>
      </c>
      <c r="K11" s="4">
        <v>262124</v>
      </c>
      <c r="L11" s="4">
        <v>310324</v>
      </c>
      <c r="M11" s="4">
        <v>325041</v>
      </c>
      <c r="N11" s="4">
        <v>231238</v>
      </c>
      <c r="O11" s="4">
        <v>201958</v>
      </c>
      <c r="P11" s="4">
        <v>228065</v>
      </c>
      <c r="Q11" s="4">
        <v>260205</v>
      </c>
      <c r="R11" s="4">
        <v>249018</v>
      </c>
      <c r="S11" s="4">
        <v>286556</v>
      </c>
      <c r="T11" s="4">
        <v>360766</v>
      </c>
      <c r="U11" s="4">
        <v>425713</v>
      </c>
      <c r="V11" s="4">
        <v>407081</v>
      </c>
      <c r="W11" s="4">
        <v>463423</v>
      </c>
      <c r="X11" s="4">
        <v>500685</v>
      </c>
      <c r="Y11" s="4">
        <v>564903</v>
      </c>
    </row>
    <row r="12" spans="1:25" x14ac:dyDescent="0.25">
      <c r="A12" s="5" t="s">
        <v>12</v>
      </c>
      <c r="B12" s="6">
        <f>B11/B3</f>
      </c>
      <c r="C12" s="6">
        <f>C11/C3</f>
      </c>
      <c r="D12" s="6">
        <f>D11/D3</f>
      </c>
      <c r="E12" s="6">
        <f>E11/E3</f>
      </c>
      <c r="F12" s="6">
        <f>F11/F3</f>
      </c>
      <c r="G12" s="6">
        <f>G11/G3</f>
      </c>
      <c r="H12" s="6">
        <f>H11/H3</f>
      </c>
      <c r="I12" s="6">
        <f>I11/I3</f>
      </c>
      <c r="J12" s="6">
        <f>J11/J3</f>
      </c>
      <c r="K12" s="6">
        <f>K11/K3</f>
      </c>
      <c r="L12" s="6">
        <f>L11/L3</f>
      </c>
      <c r="M12" s="6">
        <f>M11/M3</f>
      </c>
      <c r="N12" s="6">
        <f>N11/N3</f>
      </c>
      <c r="O12" s="6">
        <f>O11/O3</f>
      </c>
      <c r="P12" s="6">
        <f>P11/P3</f>
      </c>
      <c r="Q12" s="6">
        <f>Q11/Q3</f>
      </c>
      <c r="R12" s="6">
        <f>R11/R3</f>
      </c>
      <c r="S12" s="6">
        <f>S11/S3</f>
      </c>
      <c r="T12" s="6">
        <f>T11/T3</f>
      </c>
      <c r="U12" s="6">
        <f>U11/U3</f>
      </c>
      <c r="V12" s="6">
        <f>V11/V3</f>
      </c>
      <c r="W12" s="6">
        <f>W11/W3</f>
      </c>
      <c r="X12" s="6">
        <f>X11/X3</f>
      </c>
      <c r="Y12" s="6">
        <f>Y11/Y3</f>
      </c>
    </row>
    <row r="13" spans="1:25" x14ac:dyDescent="0.25">
      <c r="A13" s="5" t="s">
        <v>6</v>
      </c>
      <c r="B13" s="6"/>
      <c r="C13" s="6"/>
      <c r="D13" s="6"/>
      <c r="E13" s="6"/>
      <c r="F13" s="6">
        <f>F11/B11-1</f>
      </c>
      <c r="G13" s="6">
        <f>G11/C11-1</f>
      </c>
      <c r="H13" s="6">
        <f>H11/D11-1</f>
      </c>
      <c r="I13" s="6">
        <f>I11/E11-1</f>
      </c>
      <c r="J13" s="6">
        <f>J11/F11-1</f>
      </c>
      <c r="K13" s="6">
        <f>K11/G11-1</f>
      </c>
      <c r="L13" s="6">
        <f>L11/H11-1</f>
      </c>
      <c r="M13" s="6">
        <f>M11/I11-1</f>
      </c>
      <c r="N13" s="6">
        <f>N11/J11-1</f>
      </c>
      <c r="O13" s="6">
        <f>O11/K11-1</f>
      </c>
      <c r="P13" s="6">
        <f>P11/L11-1</f>
      </c>
      <c r="Q13" s="6">
        <f>Q11/M11-1</f>
      </c>
      <c r="R13" s="6">
        <f>R11/N11-1</f>
      </c>
      <c r="S13" s="6">
        <f>S11/O11-1</f>
      </c>
      <c r="T13" s="6">
        <f>T11/P11-1</f>
      </c>
      <c r="U13" s="6">
        <f>U11/Q11-1</f>
      </c>
      <c r="V13" s="6">
        <f>V11/R11-1</f>
      </c>
      <c r="W13" s="6">
        <f>W11/S11-1</f>
      </c>
      <c r="X13" s="6">
        <f>X11/T11-1</f>
      </c>
      <c r="Y13" s="6">
        <f>Y11/U11-1</f>
      </c>
    </row>
    <row r="14" spans="1:25" x14ac:dyDescent="0.25">
      <c r="A14" s="3" t="s">
        <v>13</v>
      </c>
      <c r="B14" s="4">
        <v>3625</v>
      </c>
      <c r="C14" s="4">
        <v>5305</v>
      </c>
      <c r="D14" s="4">
        <v>5076</v>
      </c>
      <c r="E14" s="4">
        <v>3987</v>
      </c>
      <c r="F14" s="4">
        <v>4526</v>
      </c>
      <c r="G14" s="4">
        <v>3724</v>
      </c>
      <c r="H14" s="4">
        <v>2848</v>
      </c>
      <c r="I14" s="4">
        <v>2047</v>
      </c>
      <c r="J14" s="4">
        <v>3042</v>
      </c>
      <c r="K14" s="4">
        <v>3874</v>
      </c>
      <c r="L14" s="4">
        <v>6367</v>
      </c>
      <c r="M14" s="4">
        <v>9629</v>
      </c>
      <c r="N14" s="4">
        <v>13037</v>
      </c>
      <c r="O14" s="4">
        <v>12717</v>
      </c>
      <c r="P14" s="4">
        <v>13875</v>
      </c>
      <c r="Q14" s="4">
        <v>18076</v>
      </c>
      <c r="R14" s="4">
        <v>17525</v>
      </c>
      <c r="S14" s="4">
        <v>19755</v>
      </c>
      <c r="T14" s="4">
        <v>23421</v>
      </c>
      <c r="U14" s="4">
        <v>23085</v>
      </c>
      <c r="V14" s="4">
        <v>23814</v>
      </c>
      <c r="W14" s="4">
        <v>29613</v>
      </c>
      <c r="X14" s="4">
        <v>24684</v>
      </c>
      <c r="Y14" s="4">
        <v>27460</v>
      </c>
    </row>
    <row r="15" spans="1:25" x14ac:dyDescent="0.25">
      <c r="A15" s="3" t="s">
        <v>14</v>
      </c>
      <c r="B15" s="4">
        <v>116987</v>
      </c>
      <c r="C15" s="4">
        <v>120822</v>
      </c>
      <c r="D15" s="4">
        <v>137310</v>
      </c>
      <c r="E15" s="4">
        <v>142766</v>
      </c>
      <c r="F15" s="4">
        <v>139690</v>
      </c>
      <c r="G15" s="4">
        <v>134359</v>
      </c>
      <c r="H15" s="4">
        <v>156259</v>
      </c>
      <c r="I15" s="4">
        <v>166232</v>
      </c>
      <c r="J15" s="4">
        <v>202733</v>
      </c>
      <c r="K15" s="4">
        <v>237027</v>
      </c>
      <c r="L15" s="4">
        <v>280866</v>
      </c>
      <c r="M15" s="4">
        <v>295904</v>
      </c>
      <c r="N15" s="4">
        <v>206987</v>
      </c>
      <c r="O15" s="4">
        <v>181799</v>
      </c>
      <c r="P15" s="4">
        <v>211000</v>
      </c>
      <c r="Q15" s="4">
        <v>238712</v>
      </c>
      <c r="R15" s="4">
        <v>225485</v>
      </c>
      <c r="S15" s="4">
        <v>247845</v>
      </c>
      <c r="T15" s="4">
        <v>325258</v>
      </c>
      <c r="U15" s="4">
        <v>374680</v>
      </c>
      <c r="V15" s="4">
        <v>361564</v>
      </c>
      <c r="W15" s="4">
        <v>398273</v>
      </c>
      <c r="X15" s="4">
        <v>452302</v>
      </c>
      <c r="Y15" s="4">
        <v>505744</v>
      </c>
    </row>
    <row r="16" spans="1:25" x14ac:dyDescent="0.25">
      <c r="A16" s="5" t="s">
        <v>15</v>
      </c>
      <c r="B16" s="6">
        <f>B15/B3</f>
      </c>
      <c r="C16" s="6">
        <f>C15/C3</f>
      </c>
      <c r="D16" s="6">
        <f>D15/D3</f>
      </c>
      <c r="E16" s="6">
        <f>E15/E3</f>
      </c>
      <c r="F16" s="6">
        <f>F15/F3</f>
      </c>
      <c r="G16" s="6">
        <f>G15/G3</f>
      </c>
      <c r="H16" s="6">
        <f>H15/H3</f>
      </c>
      <c r="I16" s="6">
        <f>I15/I3</f>
      </c>
      <c r="J16" s="6">
        <f>J15/J3</f>
      </c>
      <c r="K16" s="6">
        <f>K15/K3</f>
      </c>
      <c r="L16" s="6">
        <f>L15/L3</f>
      </c>
      <c r="M16" s="6">
        <f>M15/M3</f>
      </c>
      <c r="N16" s="6">
        <f>N15/N3</f>
      </c>
      <c r="O16" s="6">
        <f>O15/O3</f>
      </c>
      <c r="P16" s="6">
        <f>P15/P3</f>
      </c>
      <c r="Q16" s="6">
        <f>Q15/Q3</f>
      </c>
      <c r="R16" s="6">
        <f>R15/R3</f>
      </c>
      <c r="S16" s="6">
        <f>S15/S3</f>
      </c>
      <c r="T16" s="6">
        <f>T15/T3</f>
      </c>
      <c r="U16" s="6">
        <f>U15/U3</f>
      </c>
      <c r="V16" s="6">
        <f>V15/V3</f>
      </c>
      <c r="W16" s="6">
        <f>W15/W3</f>
      </c>
      <c r="X16" s="6">
        <f>X15/X3</f>
      </c>
      <c r="Y16" s="6">
        <f>Y15/Y3</f>
      </c>
    </row>
    <row r="17" spans="1:25" x14ac:dyDescent="0.25">
      <c r="A17" s="5" t="s">
        <v>6</v>
      </c>
      <c r="B17" s="6"/>
      <c r="C17" s="6"/>
      <c r="D17" s="6"/>
      <c r="E17" s="6"/>
      <c r="F17" s="6">
        <f>F15/B15-1</f>
      </c>
      <c r="G17" s="6">
        <f>G15/C15-1</f>
      </c>
      <c r="H17" s="6">
        <f>H15/D15-1</f>
      </c>
      <c r="I17" s="6">
        <f>I15/E15-1</f>
      </c>
      <c r="J17" s="6">
        <f>J15/F15-1</f>
      </c>
      <c r="K17" s="6">
        <f>K15/G15-1</f>
      </c>
      <c r="L17" s="6">
        <f>L15/H15-1</f>
      </c>
      <c r="M17" s="6">
        <f>M15/I15-1</f>
      </c>
      <c r="N17" s="6">
        <f>N15/J15-1</f>
      </c>
      <c r="O17" s="6">
        <f>O15/K15-1</f>
      </c>
      <c r="P17" s="6">
        <f>P15/L15-1</f>
      </c>
      <c r="Q17" s="6">
        <f>Q15/M15-1</f>
      </c>
      <c r="R17" s="6">
        <f>R15/N15-1</f>
      </c>
      <c r="S17" s="6">
        <f>S15/O15-1</f>
      </c>
      <c r="T17" s="6">
        <f>T15/P15-1</f>
      </c>
      <c r="U17" s="6">
        <f>U15/Q15-1</f>
      </c>
      <c r="V17" s="6">
        <f>V15/R15-1</f>
      </c>
      <c r="W17" s="6">
        <f>W15/S15-1</f>
      </c>
      <c r="X17" s="6">
        <f>X15/T15-1</f>
      </c>
      <c r="Y17" s="6">
        <f>Y15/U15-1</f>
      </c>
    </row>
    <row r="18" spans="1:25" x14ac:dyDescent="0.25">
      <c r="A18" s="3" t="s">
        <v>16</v>
      </c>
      <c r="B18" s="7">
        <v>4.51</v>
      </c>
      <c r="C18" s="7">
        <v>4.66</v>
      </c>
      <c r="D18" s="7">
        <v>5.3</v>
      </c>
      <c r="E18" s="7">
        <v>5.51</v>
      </c>
      <c r="F18" s="7">
        <v>5.39</v>
      </c>
      <c r="G18" s="7">
        <v>5.18</v>
      </c>
      <c r="H18" s="7">
        <v>6.03</v>
      </c>
      <c r="I18" s="7">
        <v>6.41</v>
      </c>
      <c r="J18" s="7">
        <v>7.82</v>
      </c>
      <c r="K18" s="7">
        <v>9.14</v>
      </c>
      <c r="L18" s="7">
        <v>10.83</v>
      </c>
      <c r="M18" s="7">
        <v>11.41</v>
      </c>
      <c r="N18" s="7">
        <v>7.98</v>
      </c>
      <c r="O18" s="7">
        <v>7.01</v>
      </c>
      <c r="P18" s="7">
        <v>8.14</v>
      </c>
      <c r="Q18" s="7">
        <v>9.21</v>
      </c>
      <c r="R18" s="7">
        <v>8.7</v>
      </c>
      <c r="S18" s="7">
        <v>9.56</v>
      </c>
      <c r="T18" s="7">
        <v>12.54</v>
      </c>
      <c r="U18" s="7">
        <v>14.45</v>
      </c>
      <c r="V18" s="7">
        <v>13.94</v>
      </c>
      <c r="W18" s="7">
        <v>15.36</v>
      </c>
      <c r="X18" s="7">
        <v>17.44</v>
      </c>
      <c r="Y18" s="7">
        <v>19.5</v>
      </c>
    </row>
    <row r="19" spans="1:25" x14ac:dyDescent="0.25">
      <c r="A19" s="3" t="s">
        <v>17</v>
      </c>
      <c r="B19" s="7">
        <v>0.75</v>
      </c>
      <c r="C19" s="7">
        <v>0.78</v>
      </c>
      <c r="D19" s="7">
        <v>0.9</v>
      </c>
      <c r="E19" s="7">
        <v>0.97</v>
      </c>
      <c r="F19" s="7">
        <v>0.96</v>
      </c>
      <c r="G19" s="7">
        <v>0.93</v>
      </c>
      <c r="H19" s="7">
        <v>1.08</v>
      </c>
      <c r="I19" s="7">
        <v>1.15</v>
      </c>
      <c r="J19" s="7">
        <v>1.4</v>
      </c>
      <c r="K19" s="7">
        <v>1.55</v>
      </c>
      <c r="L19" s="7">
        <v>1.79</v>
      </c>
      <c r="M19" s="7">
        <v>1.82</v>
      </c>
      <c r="N19" s="7">
        <v>1.31</v>
      </c>
      <c r="O19" s="7">
        <v>1.14</v>
      </c>
      <c r="P19" s="7">
        <v>1.29</v>
      </c>
      <c r="Q19" s="7">
        <v>1.44</v>
      </c>
      <c r="R19" s="7">
        <v>1.38</v>
      </c>
      <c r="S19" s="7">
        <v>1.48</v>
      </c>
      <c r="T19" s="7">
        <v>1.94</v>
      </c>
      <c r="U19" s="7">
        <v>2.24</v>
      </c>
      <c r="V19" s="7">
        <v>2.12</v>
      </c>
      <c r="W19" s="7">
        <v>2.47</v>
      </c>
      <c r="X19" s="7">
        <v>2.92</v>
      </c>
      <c r="Y19" s="7">
        <v>3.14</v>
      </c>
    </row>
    <row r="20" spans="1:25" x14ac:dyDescent="0.25">
      <c r="A20" s="3" t="s">
        <v>18</v>
      </c>
      <c r="B20" s="7">
        <v>47.79</v>
      </c>
      <c r="C20" s="7">
        <v>56.77</v>
      </c>
      <c r="D20" s="7">
        <v>81.07</v>
      </c>
      <c r="E20" s="7">
        <v>109.04</v>
      </c>
      <c r="F20" s="7">
        <v>118.28</v>
      </c>
      <c r="G20" s="7">
        <v>120.16</v>
      </c>
      <c r="H20" s="7">
        <v>111.65</v>
      </c>
      <c r="I20" s="7">
        <v>120.31</v>
      </c>
      <c r="J20" s="7">
        <v>104.26</v>
      </c>
      <c r="K20" s="7">
        <v>81.75</v>
      </c>
      <c r="L20" s="7">
        <v>68.56</v>
      </c>
      <c r="M20" s="7">
        <v>74.49</v>
      </c>
      <c r="N20" s="7">
        <v>93.02</v>
      </c>
      <c r="O20" s="7">
        <v>100.92</v>
      </c>
      <c r="P20" s="7">
        <v>86.9</v>
      </c>
      <c r="Q20" s="7">
        <v>104</v>
      </c>
      <c r="R20" s="7">
        <v>136.05</v>
      </c>
      <c r="S20" s="7">
        <v>173.81</v>
      </c>
      <c r="T20" s="7">
        <v>173.67</v>
      </c>
      <c r="U20" s="7">
        <v>197.49</v>
      </c>
      <c r="V20" s="7">
        <v>166</v>
      </c>
      <c r="W20" s="7">
        <v>226.49</v>
      </c>
      <c r="X20" s="7">
        <v>279.29</v>
      </c>
      <c r="Y20" s="7">
        <v>303.89</v>
      </c>
    </row>
    <row r="21" spans="1:25" x14ac:dyDescent="0.25">
      <c r="A21" s="3" t="s">
        <v>19</v>
      </c>
      <c r="B21" s="8"/>
      <c r="C21" s="8"/>
      <c r="D21" s="8"/>
      <c r="E21" s="8">
        <f>E20/SUM(B19:E19)</f>
      </c>
      <c r="F21" s="8">
        <f>F20/SUM(C19:F19)</f>
      </c>
      <c r="G21" s="8">
        <f>G20/SUM(D19:G19)</f>
      </c>
      <c r="H21" s="8">
        <f>H20/SUM(E19:H19)</f>
      </c>
      <c r="I21" s="8">
        <f>I20/SUM(F19:I19)</f>
      </c>
      <c r="J21" s="8">
        <f>J20/SUM(G19:J19)</f>
      </c>
      <c r="K21" s="8">
        <f>K20/SUM(H19:K19)</f>
      </c>
      <c r="L21" s="8">
        <f>L20/SUM(I19:L19)</f>
      </c>
      <c r="M21" s="8">
        <f>M20/SUM(J19:M19)</f>
      </c>
      <c r="N21" s="8">
        <f>N20/SUM(K19:N19)</f>
      </c>
      <c r="O21" s="8">
        <f>O20/SUM(L19:O19)</f>
      </c>
      <c r="P21" s="8">
        <f>P20/SUM(M19:P19)</f>
      </c>
      <c r="Q21" s="8">
        <f>Q20/SUM(N19:Q19)</f>
      </c>
      <c r="R21" s="8">
        <f>R20/SUM(O19:R19)</f>
      </c>
      <c r="S21" s="8">
        <f>S20/SUM(P19:S19)</f>
      </c>
      <c r="T21" s="8">
        <f>T20/SUM(Q19:T19)</f>
      </c>
      <c r="U21" s="8">
        <f>U20/SUM(R19:U19)</f>
      </c>
      <c r="V21" s="8">
        <f>V20/SUM(S19:V19)</f>
      </c>
      <c r="W21" s="8">
        <f>W20/SUM(T19:W19)</f>
      </c>
      <c r="X21" s="8">
        <f>X20/SUM(U19:X19)</f>
      </c>
      <c r="Y21" s="8">
        <f>Y20/SUM(V19:Y19)</f>
      </c>
    </row>
    <row r="22" spans="1:25" x14ac:dyDescent="0.25">
      <c r="A22" s="3" t="s">
        <v>20</v>
      </c>
      <c r="B22" s="8"/>
      <c r="C22" s="8"/>
      <c r="D22" s="8"/>
      <c r="E22" s="8"/>
      <c r="F22" s="8"/>
      <c r="G22" s="8"/>
      <c r="H22" s="8">
        <f>AVERAGE(E21:H21)</f>
      </c>
      <c r="I22" s="8">
        <f>AVERAGE(F21:I21)</f>
      </c>
      <c r="J22" s="8">
        <f>AVERAGE(G21:J21)</f>
      </c>
      <c r="K22" s="8">
        <f>AVERAGE(H21:K21)</f>
      </c>
      <c r="L22" s="8">
        <f>AVERAGE(I21:L21)</f>
      </c>
      <c r="M22" s="8">
        <f>AVERAGE(J21:M21)</f>
      </c>
      <c r="N22" s="8">
        <f>AVERAGE(K21:N21)</f>
      </c>
      <c r="O22" s="8">
        <f>AVERAGE(L21:O21)</f>
      </c>
      <c r="P22" s="8">
        <f>AVERAGE(M21:P21)</f>
      </c>
      <c r="Q22" s="8">
        <f>AVERAGE(N21:Q21)</f>
      </c>
      <c r="R22" s="8">
        <f>AVERAGE(O21:R21)</f>
      </c>
      <c r="S22" s="8">
        <f>AVERAGE(P21:S21)</f>
      </c>
      <c r="T22" s="8">
        <f>AVERAGE(Q21:T21)</f>
      </c>
      <c r="U22" s="8">
        <f>AVERAGE(R21:U21)</f>
      </c>
      <c r="V22" s="8">
        <f>AVERAGE(S21:V21)</f>
      </c>
      <c r="W22" s="8">
        <f>AVERAGE(T21:W21)</f>
      </c>
      <c r="X22" s="8">
        <f>AVERAGE(U21:X21)</f>
      </c>
      <c r="Y22" s="8">
        <f>AVERAGE(V21:Y21)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TSM業績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2026-02-24T05:43:23Z</dcterms:created>
  <dcterms:modified xsi:type="dcterms:W3CDTF">2026-02-24T05:43:23Z</dcterms:modified>
</cp:coreProperties>
</file>