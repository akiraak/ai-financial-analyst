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VDA業績" sheetId="1" r:id="rId1"/>
  </sheets>
</workbook>
</file>

<file path=xl/comments1.xml><?xml version="1.0" encoding="utf-8"?>
<comments xmlns="http://schemas.openxmlformats.org/spreadsheetml/2006/main">
  <authors>
    <author>sheetjsghost</author>
  </authors>
  <commentList>
    <comment ref="A3" authorId="0">
      <text>
        <t>Revenue</t>
      </text>
    </comment>
    <comment ref="A6" authorId="0">
      <text>
        <t>Gross profit</t>
      </text>
    </comment>
    <comment ref="A9" authorId="0">
      <text>
        <t>Research and development</t>
      </text>
    </comment>
    <comment ref="A13" authorId="0">
      <text>
        <t>Total operating expenses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0.0%"/>
    <numFmt numFmtId="165" formatCode="0.0"/>
    <numFmt numFmtId="166" formatCode="#,##0.0"/>
    <numFmt numFmtId="167" formatCode="[$$]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workbookViewId="0" rightToLeft="0"/>
  </sheetViews>
  <sheetData>
    <row r="1">
      <c r="B1">
        <v>2024</v>
      </c>
      <c r="F1">
        <v>2025</v>
      </c>
      <c r="J1">
        <v>2026</v>
      </c>
      <c r="N1">
        <v>2027</v>
      </c>
      <c r="R1">
        <v>2028</v>
      </c>
    </row>
    <row r="2">
      <c r="A2" t="str">
        <v>期間</v>
      </c>
      <c r="B2" t="str">
        <v>Q1</v>
      </c>
      <c r="C2" t="str">
        <v>Q2</v>
      </c>
      <c r="D2" t="str">
        <v>Q3</v>
      </c>
      <c r="E2" t="str">
        <v>Q4</v>
      </c>
      <c r="F2" t="str">
        <v>Q1</v>
      </c>
      <c r="G2" t="str">
        <v>Q2</v>
      </c>
      <c r="H2" t="str">
        <v>Q3</v>
      </c>
      <c r="I2" t="str">
        <v>Q4</v>
      </c>
      <c r="J2" t="str">
        <v>Q1</v>
      </c>
      <c r="K2" t="str">
        <v>Q2</v>
      </c>
      <c r="L2" t="str">
        <v>Q3</v>
      </c>
      <c r="M2" t="str">
        <v>Q4予想</v>
      </c>
      <c r="N2" t="str">
        <v>Q1</v>
      </c>
      <c r="O2" t="str">
        <v>Q2</v>
      </c>
      <c r="P2" t="str">
        <v>Q3</v>
      </c>
      <c r="Q2" t="str">
        <v>Q4</v>
      </c>
      <c r="R2" t="str">
        <v>Q1</v>
      </c>
      <c r="S2" t="str">
        <v>Q2</v>
      </c>
      <c r="T2" t="str">
        <v>Q3</v>
      </c>
      <c r="U2" t="str">
        <v>Q4</v>
      </c>
    </row>
    <row r="3">
      <c r="A3" t="str">
        <v>売上高</v>
      </c>
      <c r="B3">
        <v>7192</v>
      </c>
      <c r="C3">
        <v>13507</v>
      </c>
      <c r="D3">
        <v>18129</v>
      </c>
      <c r="E3">
        <v>22103</v>
      </c>
      <c r="F3">
        <v>26044</v>
      </c>
      <c r="G3">
        <v>30040</v>
      </c>
      <c r="H3">
        <v>35082</v>
      </c>
      <c r="I3">
        <v>39331</v>
      </c>
      <c r="J3">
        <v>44062</v>
      </c>
      <c r="K3">
        <v>46743</v>
      </c>
      <c r="L3">
        <v>57006</v>
      </c>
      <c r="M3">
        <v>65000</v>
      </c>
      <c r="N3">
        <f>M3*(1+$B$33)</f>
        <v>71500</v>
      </c>
      <c r="O3">
        <f>N3*(1+$B$33)</f>
        <v>78650</v>
      </c>
      <c r="P3">
        <f>O3*(1+$B$33)</f>
        <v>86515</v>
      </c>
      <c r="Q3">
        <f>P3*(1+$B$33)</f>
        <v>95166.5</v>
      </c>
      <c r="R3">
        <f>Q3*(1+$B$33)</f>
        <v>104683.15</v>
      </c>
      <c r="S3">
        <f>R3*(1+$B$33)</f>
        <v>115151.465</v>
      </c>
      <c r="T3">
        <f>S3*(1+$B$33)</f>
        <v>126666.6115</v>
      </c>
      <c r="U3">
        <f>T3*(1+$B$33)</f>
        <v>139333.2727</v>
      </c>
    </row>
    <row r="4">
      <c r="A4" t="str">
        <v>前期比</v>
      </c>
      <c r="C4">
        <f>C3/B3</f>
        <v>1.878058954</v>
      </c>
      <c r="D4">
        <f>D3/C3</f>
        <v>1.342192937</v>
      </c>
      <c r="E4">
        <f>E3/D3</f>
        <v>1.219206796</v>
      </c>
      <c r="F4">
        <f>F3/E3</f>
        <v>1.178301588</v>
      </c>
      <c r="G4">
        <f>G3/F3</f>
        <v>1.153432652</v>
      </c>
      <c r="H4">
        <f>H3/G3</f>
        <v>1.167842876</v>
      </c>
      <c r="I4">
        <f>I3/H3</f>
        <v>1.121116242</v>
      </c>
      <c r="J4">
        <f>J3/I3</f>
        <v>1.120286797</v>
      </c>
      <c r="K4">
        <f>K3/J3</f>
        <v>1.060846081</v>
      </c>
      <c r="L4">
        <f>L3/K3</f>
        <v>1.219562287</v>
      </c>
      <c r="M4">
        <f>M3/L3</f>
        <v>1.140230853</v>
      </c>
      <c r="N4">
        <f>N3/M3</f>
        <v>1.1</v>
      </c>
      <c r="O4">
        <f>O3/N3</f>
        <v>1.1</v>
      </c>
      <c r="P4">
        <f>P3/O3</f>
        <v>1.1</v>
      </c>
      <c r="Q4">
        <f>Q3/P3</f>
        <v>1.1</v>
      </c>
      <c r="R4">
        <f>R3/Q3</f>
        <v>1.1</v>
      </c>
      <c r="S4">
        <f>S3/R3</f>
        <v>1.1</v>
      </c>
      <c r="T4">
        <f>T3/S3</f>
        <v>1.1</v>
      </c>
      <c r="U4">
        <f>U3/T3</f>
        <v>1.1</v>
      </c>
    </row>
    <row r="5">
      <c r="A5" t="str">
        <v>前年比</v>
      </c>
      <c r="F5">
        <v>2.621</v>
      </c>
      <c r="G5">
        <v>1.224</v>
      </c>
      <c r="H5">
        <f>D3/H3</f>
        <v>0.516760732</v>
      </c>
      <c r="I5">
        <f>E3/I3</f>
        <v>0.5619740154</v>
      </c>
      <c r="J5">
        <f>F3/J3</f>
        <v>0.5910762108</v>
      </c>
      <c r="K5">
        <f>G3/K3</f>
        <v>0.6426630725</v>
      </c>
      <c r="L5">
        <f>H3/L3</f>
        <v>0.6154089043</v>
      </c>
      <c r="M5">
        <f>I3/M3</f>
        <v>0.6050923077</v>
      </c>
      <c r="N5">
        <f>J3/N3</f>
        <v>0.6162517483</v>
      </c>
      <c r="O5">
        <f>K3/O3</f>
        <v>0.5943165925</v>
      </c>
      <c r="P5">
        <f>L3/P3</f>
        <v>0.6589146391</v>
      </c>
      <c r="Q5">
        <f>M3/Q3</f>
        <v>0.6830134554</v>
      </c>
      <c r="R5">
        <f>N3/R3</f>
        <v>0.6830134554</v>
      </c>
      <c r="S5">
        <f>O3/S3</f>
        <v>0.6830134554</v>
      </c>
      <c r="T5">
        <f>P3/T3</f>
        <v>0.6830134554</v>
      </c>
      <c r="U5">
        <f>Q3/U3</f>
        <v>0.6830134554</v>
      </c>
    </row>
    <row r="6">
      <c r="A6" t="str">
        <v>売上総利益（粗利）</v>
      </c>
      <c r="B6">
        <v>4648</v>
      </c>
      <c r="C6">
        <v>9462</v>
      </c>
      <c r="D6">
        <v>13400</v>
      </c>
      <c r="E6">
        <v>16791</v>
      </c>
      <c r="F6">
        <v>20406</v>
      </c>
      <c r="G6">
        <v>22574</v>
      </c>
      <c r="H6">
        <v>26156</v>
      </c>
      <c r="I6">
        <v>28723</v>
      </c>
      <c r="J6">
        <v>26668</v>
      </c>
      <c r="K6">
        <v>33853</v>
      </c>
      <c r="L6">
        <v>41849</v>
      </c>
      <c r="M6">
        <f>M3*M7</f>
        <v>48620</v>
      </c>
    </row>
    <row r="7">
      <c r="A7" t="str">
        <v>売上比</v>
      </c>
      <c r="B7">
        <f>B6/B$3</f>
        <v>0.6462736374</v>
      </c>
      <c r="C7">
        <f>C6/C$3</f>
        <v>0.7005256534</v>
      </c>
      <c r="D7">
        <f>D6/D$3</f>
        <v>0.7391472227</v>
      </c>
      <c r="E7">
        <f>E6/E$3</f>
        <v>0.7596706329</v>
      </c>
      <c r="F7">
        <f>F6/F$3</f>
        <v>0.7835201966</v>
      </c>
      <c r="G7">
        <f>G6/G$3</f>
        <v>0.7514647137</v>
      </c>
      <c r="H7">
        <f>H6/H$3</f>
        <v>0.7455675275</v>
      </c>
      <c r="I7">
        <f>I6/I$3</f>
        <v>0.7302890849</v>
      </c>
      <c r="J7">
        <f>J6/J$3</f>
        <v>0.6052380736</v>
      </c>
      <c r="K7">
        <f>K6/K$3</f>
        <v>0.7242367841</v>
      </c>
      <c r="L7">
        <f>L6/L$3</f>
        <v>0.7341157071</v>
      </c>
      <c r="M7">
        <v>0.748</v>
      </c>
    </row>
    <row r="8">
      <c r="A8" t="str">
        <v>前年比</v>
      </c>
      <c r="F8">
        <f>F6/B6</f>
        <v>4.390275387</v>
      </c>
      <c r="G8">
        <f>G6/C6</f>
        <v>2.38575354</v>
      </c>
      <c r="H8">
        <f>H6/D6</f>
        <v>1.951940299</v>
      </c>
      <c r="I8">
        <f>I6/E6</f>
        <v>1.710618784</v>
      </c>
      <c r="J8">
        <f>J6/F6</f>
        <v>1.306870528</v>
      </c>
      <c r="K8">
        <f>K6/G6</f>
        <v>1.49964561</v>
      </c>
      <c r="L8">
        <f>L6/H6</f>
        <v>1.599977061</v>
      </c>
    </row>
    <row r="9">
      <c r="A9" t="str">
        <v>研究開発費</v>
      </c>
      <c r="B9">
        <v>1875</v>
      </c>
      <c r="C9">
        <v>2040</v>
      </c>
      <c r="D9">
        <v>2294</v>
      </c>
      <c r="E9">
        <v>2465</v>
      </c>
      <c r="F9">
        <v>2729</v>
      </c>
      <c r="G9">
        <v>3090</v>
      </c>
      <c r="H9">
        <v>3390</v>
      </c>
      <c r="I9">
        <v>3714</v>
      </c>
      <c r="J9">
        <v>3989</v>
      </c>
      <c r="K9">
        <v>4291</v>
      </c>
      <c r="L9">
        <v>4705</v>
      </c>
    </row>
    <row r="10">
      <c r="A10" t="str">
        <v>売上比</v>
      </c>
      <c r="B10">
        <f>B9/B$3</f>
        <v>0.2607063404</v>
      </c>
      <c r="C10">
        <f>C9/C$3</f>
        <v>0.1510327978</v>
      </c>
      <c r="D10">
        <f>D9/D$3</f>
        <v>0.1265375917</v>
      </c>
      <c r="E10">
        <f>E9/E$3</f>
        <v>0.1115233226</v>
      </c>
      <c r="F10">
        <f>F9/F$3</f>
        <v>0.1047842113</v>
      </c>
      <c r="G10">
        <f>G9/G$3</f>
        <v>0.1028628495</v>
      </c>
      <c r="H10">
        <f>H9/H$3</f>
        <v>0.09663075081</v>
      </c>
      <c r="I10">
        <f>I9/I$3</f>
        <v>0.09442933055</v>
      </c>
      <c r="J10">
        <f>J9/J$3</f>
        <v>0.09053152376</v>
      </c>
      <c r="K10">
        <f>K9/K$3</f>
        <v>0.09179984169</v>
      </c>
      <c r="L10">
        <f>L9/L$3</f>
        <v>0.08253517174</v>
      </c>
    </row>
    <row r="11">
      <c r="A11" t="str">
        <v>その他販管費</v>
      </c>
      <c r="B11">
        <v>633</v>
      </c>
      <c r="C11">
        <v>622</v>
      </c>
      <c r="D11">
        <v>689</v>
      </c>
      <c r="E11">
        <v>711</v>
      </c>
      <c r="F11">
        <v>777</v>
      </c>
      <c r="G11">
        <v>842</v>
      </c>
      <c r="H11">
        <v>897</v>
      </c>
      <c r="I11">
        <v>975</v>
      </c>
      <c r="J11">
        <v>1041</v>
      </c>
      <c r="K11">
        <v>1122</v>
      </c>
      <c r="L11">
        <v>1134</v>
      </c>
    </row>
    <row r="12">
      <c r="A12" t="str">
        <v>売上比</v>
      </c>
      <c r="B12">
        <f>B11/B$3</f>
        <v>0.08801446051</v>
      </c>
      <c r="C12">
        <f>C11/C$3</f>
        <v>0.04605019619</v>
      </c>
      <c r="D12">
        <f>D11/D$3</f>
        <v>0.0380054057</v>
      </c>
      <c r="E12">
        <f>E11/E$3</f>
        <v>0.03216757906</v>
      </c>
      <c r="F12">
        <f>F11/F$3</f>
        <v>0.02983412686</v>
      </c>
      <c r="G12">
        <f>G11/G$3</f>
        <v>0.02802929427</v>
      </c>
      <c r="H12">
        <f>H11/H$3</f>
        <v>0.02556866769</v>
      </c>
      <c r="I12">
        <f>I11/I$3</f>
        <v>0.02478960616</v>
      </c>
      <c r="J12">
        <f>J11/J$3</f>
        <v>0.02362580001</v>
      </c>
      <c r="K12">
        <f>K11/K$3</f>
        <v>0.02400359412</v>
      </c>
      <c r="L12">
        <f>L11/L$3</f>
        <v>0.01989264288</v>
      </c>
    </row>
    <row r="13">
      <c r="A13" t="str">
        <v>販管費</v>
      </c>
      <c r="B13">
        <v>2508</v>
      </c>
      <c r="C13">
        <v>2662</v>
      </c>
      <c r="D13">
        <v>2983</v>
      </c>
      <c r="E13">
        <v>3176</v>
      </c>
      <c r="F13">
        <v>3497</v>
      </c>
      <c r="G13">
        <v>3932</v>
      </c>
      <c r="H13">
        <v>4287</v>
      </c>
      <c r="I13">
        <v>4689</v>
      </c>
      <c r="J13">
        <v>5030</v>
      </c>
      <c r="K13">
        <v>5413</v>
      </c>
      <c r="L13">
        <v>5900</v>
      </c>
      <c r="M13">
        <v>6700</v>
      </c>
    </row>
    <row r="14">
      <c r="A14" t="str">
        <v>売上比</v>
      </c>
      <c r="B14">
        <f>B13/B$3</f>
        <v>0.3487208009</v>
      </c>
      <c r="C14">
        <f>C13/C$3</f>
        <v>0.197082994</v>
      </c>
      <c r="D14">
        <f>D13/D$3</f>
        <v>0.1645429974</v>
      </c>
      <c r="E14">
        <f>E13/E$3</f>
        <v>0.1436909017</v>
      </c>
      <c r="F14">
        <f>F13/F$3</f>
        <v>0.1342727692</v>
      </c>
      <c r="G14">
        <f>G13/G$3</f>
        <v>0.1308921438</v>
      </c>
      <c r="H14">
        <f>H13/H$3</f>
        <v>0.1221994185</v>
      </c>
      <c r="I14">
        <f>I13/I$3</f>
        <v>0.1192189367</v>
      </c>
      <c r="J14">
        <f>J13/J$3</f>
        <v>0.1141573238</v>
      </c>
      <c r="K14">
        <f>K13/K$3</f>
        <v>0.1158034358</v>
      </c>
      <c r="L14">
        <f>L13/L$3</f>
        <v>0.1034978774</v>
      </c>
      <c r="M14">
        <f>M13/M$3</f>
        <v>0.1030769231</v>
      </c>
    </row>
    <row r="15">
      <c r="A15" t="str">
        <v>前年比</v>
      </c>
      <c r="F15">
        <f>F13/B13</f>
        <v>1.394338118</v>
      </c>
      <c r="G15">
        <f>G13/C13</f>
        <v>1.477084899</v>
      </c>
      <c r="H15">
        <f>H13/D13</f>
        <v>1.437143815</v>
      </c>
      <c r="I15">
        <f>I13/E13</f>
        <v>1.47638539</v>
      </c>
      <c r="J15">
        <f>J13/F13</f>
        <v>1.438375751</v>
      </c>
      <c r="K15">
        <f>K13/G13</f>
        <v>1.376653103</v>
      </c>
      <c r="L15">
        <f>L13/H13</f>
        <v>1.376253791</v>
      </c>
      <c r="M15">
        <f>M13/I13</f>
        <v>1.428876093</v>
      </c>
    </row>
    <row r="16">
      <c r="A16" t="str">
        <v>営業利益</v>
      </c>
      <c r="B16">
        <v>2140</v>
      </c>
      <c r="C16">
        <v>6800</v>
      </c>
      <c r="D16">
        <v>10417</v>
      </c>
      <c r="E16">
        <v>13615</v>
      </c>
      <c r="F16">
        <v>16909</v>
      </c>
      <c r="G16">
        <v>18642</v>
      </c>
      <c r="H16">
        <v>21869</v>
      </c>
      <c r="I16">
        <f>I6-I13</f>
        <v>24034</v>
      </c>
      <c r="J16">
        <f>J6-J13</f>
        <v>21638</v>
      </c>
      <c r="K16">
        <f>K6-K13</f>
        <v>28440</v>
      </c>
      <c r="L16">
        <v>36010</v>
      </c>
      <c r="M16">
        <f>M6-M13</f>
        <v>41920</v>
      </c>
    </row>
    <row r="17">
      <c r="A17" t="str">
        <v>売上比</v>
      </c>
      <c r="B17">
        <f>B16/B$3</f>
        <v>0.2975528365</v>
      </c>
      <c r="C17">
        <f>C16/C$3</f>
        <v>0.5034426594</v>
      </c>
      <c r="D17">
        <f>D16/D$3</f>
        <v>0.5746042253</v>
      </c>
      <c r="E17">
        <f>E16/E$3</f>
        <v>0.6159797313</v>
      </c>
      <c r="F17">
        <f>F16/F$3</f>
        <v>0.6492474274</v>
      </c>
      <c r="G17">
        <f>G16/G$3</f>
        <v>0.6205725699</v>
      </c>
      <c r="H17">
        <f>H16/H$3</f>
        <v>0.623368109</v>
      </c>
      <c r="I17">
        <f>I16/I$3</f>
        <v>0.6110701482</v>
      </c>
      <c r="J17">
        <f>J16/J$3</f>
        <v>0.4910807499</v>
      </c>
      <c r="K17">
        <f>K16/K$3</f>
        <v>0.6084333483</v>
      </c>
      <c r="L17">
        <f>L16/L$3</f>
        <v>0.6316878925</v>
      </c>
      <c r="M17">
        <f>M16/M$3</f>
        <v>0.6449230769</v>
      </c>
    </row>
    <row r="18">
      <c r="A18" t="str">
        <v>前年比</v>
      </c>
      <c r="F18">
        <f>F16/B16-1</f>
        <v>6.901401869</v>
      </c>
      <c r="G18">
        <f>G16/C16-1</f>
        <v>1.741470588</v>
      </c>
      <c r="H18">
        <f>H16/D16-1</f>
        <v>1.099356821</v>
      </c>
      <c r="I18">
        <f>I16/E16-1</f>
        <v>0.7652589056</v>
      </c>
      <c r="J18">
        <f>J16/F16-1</f>
        <v>0.2796735466</v>
      </c>
      <c r="K18">
        <f>K16/G16-1</f>
        <v>0.5255873833</v>
      </c>
      <c r="L18">
        <f>L16/H16-1</f>
        <v>0.6466230738</v>
      </c>
      <c r="M18">
        <f>M16/I16-1</f>
        <v>0.7441957227</v>
      </c>
    </row>
    <row r="19">
      <c r="A19" t="str">
        <v>営業外収支</v>
      </c>
      <c r="B19">
        <v>69</v>
      </c>
      <c r="C19">
        <v>181</v>
      </c>
      <c r="D19">
        <v>105</v>
      </c>
      <c r="E19">
        <v>491</v>
      </c>
      <c r="F19">
        <v>370</v>
      </c>
      <c r="G19">
        <v>572</v>
      </c>
      <c r="H19">
        <v>447</v>
      </c>
      <c r="I19">
        <v>1183</v>
      </c>
      <c r="J19">
        <v>-180</v>
      </c>
      <c r="K19">
        <v>2766</v>
      </c>
      <c r="L19">
        <v>1926</v>
      </c>
      <c r="M19">
        <v>500</v>
      </c>
    </row>
    <row r="20">
      <c r="A20" t="str">
        <v>当期純利益</v>
      </c>
      <c r="B20">
        <v>2043</v>
      </c>
      <c r="C20">
        <v>6188</v>
      </c>
      <c r="D20">
        <v>9243</v>
      </c>
      <c r="E20">
        <v>12285</v>
      </c>
      <c r="F20">
        <v>14881</v>
      </c>
      <c r="G20">
        <v>16599</v>
      </c>
      <c r="H20">
        <v>19309</v>
      </c>
      <c r="I20">
        <v>22091</v>
      </c>
      <c r="J20">
        <v>18775</v>
      </c>
      <c r="K20">
        <v>26422</v>
      </c>
      <c r="L20">
        <v>31910</v>
      </c>
      <c r="M20">
        <f>M3*M21</f>
        <v>35750</v>
      </c>
      <c r="N20">
        <f>N3*N21</f>
        <v>39325</v>
      </c>
      <c r="O20">
        <f>O3*O21</f>
        <v>43257.5</v>
      </c>
      <c r="P20">
        <f>P3*P21</f>
        <v>47583.25</v>
      </c>
      <c r="Q20">
        <f>Q3*Q21</f>
        <v>52341.575</v>
      </c>
      <c r="R20">
        <f>R3*R21</f>
        <v>57575.7325</v>
      </c>
      <c r="S20">
        <f>S3*S21</f>
        <v>63333.30575</v>
      </c>
      <c r="T20">
        <f>T3*T21</f>
        <v>69666.63633</v>
      </c>
      <c r="U20">
        <f>U3*U21</f>
        <v>76633.29996</v>
      </c>
    </row>
    <row r="21">
      <c r="A21" t="str">
        <v>売上比</v>
      </c>
      <c r="B21">
        <f>B20/B$3</f>
        <v>0.2840656285</v>
      </c>
      <c r="C21">
        <f>C20/C$3</f>
        <v>0.45813282</v>
      </c>
      <c r="D21">
        <f>D20/D$3</f>
        <v>0.5098461029</v>
      </c>
      <c r="E21">
        <f>E20/E$3</f>
        <v>0.555806904</v>
      </c>
      <c r="F21">
        <f>F20/F$3</f>
        <v>0.5713792044</v>
      </c>
      <c r="G21">
        <f>G20/G$3</f>
        <v>0.552563249</v>
      </c>
      <c r="H21">
        <f>H20/H$3</f>
        <v>0.5503962146</v>
      </c>
      <c r="I21">
        <f>I20/I$3</f>
        <v>0.5616689126</v>
      </c>
      <c r="J21">
        <f>J20/J$3</f>
        <v>0.426104126</v>
      </c>
      <c r="K21">
        <f>K20/K$3</f>
        <v>0.5652611086</v>
      </c>
      <c r="L21">
        <f>L20/L$3</f>
        <v>0.5597656387</v>
      </c>
      <c r="M21">
        <f>$B$34</f>
        <v>0.55</v>
      </c>
      <c r="N21">
        <f>$B$34</f>
        <v>0.55</v>
      </c>
      <c r="O21">
        <f>$B$34</f>
        <v>0.55</v>
      </c>
      <c r="P21">
        <f>$B$34</f>
        <v>0.55</v>
      </c>
      <c r="Q21">
        <f>$B$34</f>
        <v>0.55</v>
      </c>
      <c r="R21">
        <f>$B$34</f>
        <v>0.55</v>
      </c>
      <c r="S21">
        <f>$B$34</f>
        <v>0.55</v>
      </c>
      <c r="T21">
        <f>$B$34</f>
        <v>0.55</v>
      </c>
      <c r="U21">
        <f>$B$34</f>
        <v>0.55</v>
      </c>
    </row>
    <row r="22">
      <c r="A22" t="str">
        <v>前年比</v>
      </c>
      <c r="F22">
        <f>F20/B20-1</f>
        <v>6.283896231</v>
      </c>
      <c r="G22">
        <f>G20/C20-1</f>
        <v>1.682449903</v>
      </c>
      <c r="H22">
        <f>H20/D20-1</f>
        <v>1.089040355</v>
      </c>
      <c r="I22">
        <f>I20/E20-1</f>
        <v>0.7982091982</v>
      </c>
      <c r="J22">
        <f>J20/F20-1</f>
        <v>0.2616759626</v>
      </c>
      <c r="K22">
        <f>K20/G20-1</f>
        <v>0.5917826375</v>
      </c>
      <c r="L22">
        <f>L20/H20-1</f>
        <v>0.6525972345</v>
      </c>
      <c r="M22">
        <f>M20/I20-1</f>
        <v>0.6183060975</v>
      </c>
    </row>
    <row r="23">
      <c r="A23" t="str">
        <v>EPS</v>
      </c>
      <c r="C23">
        <v>0.27</v>
      </c>
      <c r="D23">
        <v>0.4</v>
      </c>
      <c r="E23">
        <v>0.52</v>
      </c>
      <c r="F23">
        <v>0.61</v>
      </c>
      <c r="G23">
        <v>0.68</v>
      </c>
      <c r="H23">
        <v>0.81</v>
      </c>
      <c r="I23">
        <v>0.89</v>
      </c>
      <c r="J23">
        <v>0.76</v>
      </c>
      <c r="K23">
        <v>1.08</v>
      </c>
    </row>
    <row r="24">
      <c r="A24" t="str">
        <v>ROE</v>
      </c>
      <c r="C24">
        <v>0.4326</v>
      </c>
      <c r="D24">
        <v>0.7035</v>
      </c>
      <c r="E24">
        <v>0.9281</v>
      </c>
      <c r="F24">
        <v>1.1145</v>
      </c>
      <c r="G24">
        <v>1.1552</v>
      </c>
      <c r="H24">
        <v>116.71</v>
      </c>
      <c r="I24">
        <v>115.52</v>
      </c>
      <c r="J24">
        <v>106.92</v>
      </c>
      <c r="K24">
        <v>105.22</v>
      </c>
    </row>
    <row r="25">
      <c r="A25" t="str">
        <v>PER</v>
      </c>
      <c r="C25">
        <v>112.84</v>
      </c>
      <c r="D25">
        <v>53.79</v>
      </c>
      <c r="E25">
        <v>51.57</v>
      </c>
      <c r="F25">
        <v>50.55</v>
      </c>
      <c r="G25">
        <v>54.96</v>
      </c>
      <c r="H25">
        <v>52.28</v>
      </c>
      <c r="I25">
        <v>40.86</v>
      </c>
      <c r="J25">
        <v>35.13</v>
      </c>
      <c r="K25">
        <v>50.67</v>
      </c>
      <c r="L25">
        <v>51.68</v>
      </c>
    </row>
    <row r="26">
      <c r="A26" t="str">
        <v>PER4移動平均</v>
      </c>
      <c r="F26">
        <f>AVERAGE(C25:F25)</f>
        <v>67.1875</v>
      </c>
      <c r="G26">
        <f>AVERAGE(D25:G25)</f>
        <v>52.7175</v>
      </c>
      <c r="H26">
        <f>AVERAGE(E25:H25)</f>
        <v>52.34</v>
      </c>
      <c r="I26">
        <f>AVERAGE(F25:I25)</f>
        <v>49.6625</v>
      </c>
      <c r="J26">
        <f>AVERAGE(G25:J25)</f>
        <v>45.8075</v>
      </c>
      <c r="K26">
        <f>AVERAGE(H25:K25)</f>
        <v>44.735</v>
      </c>
      <c r="L26">
        <f>AVERAGE(I25:L25)</f>
        <v>44.585</v>
      </c>
    </row>
    <row r="27">
      <c r="A27" t="str">
        <v>計算PER</v>
      </c>
      <c r="E27">
        <f>E$29/(SUM(B$20:E$20)*10^6)</f>
        <v>50.71022548</v>
      </c>
      <c r="F27">
        <f>F$29/(SUM(C$20:F$20)*10^6)</f>
        <v>49.75448975</v>
      </c>
      <c r="G27">
        <f>G$29/(SUM(D$20:G$20)*10^6)</f>
        <v>54.14295955</v>
      </c>
      <c r="H27">
        <f>H$29/(SUM(E$20:H$20)*10^6)</f>
        <v>51.63146146</v>
      </c>
      <c r="I27">
        <f>I$29/(SUM(F$20:I$20)*10^6)</f>
        <v>40.41324232</v>
      </c>
      <c r="J27">
        <f>J$29/(SUM(G$20:J$20)*10^6)</f>
        <v>34.80094303</v>
      </c>
      <c r="K27">
        <f>K$29/(SUM(H$20:K$20)*10^6)</f>
        <v>49.14667945</v>
      </c>
      <c r="L27">
        <f>L$29/(SUM(I$20:L$20)*10^6)</f>
        <v>46.05897095</v>
      </c>
      <c r="M27">
        <f>$B$35</f>
        <v>45</v>
      </c>
      <c r="N27">
        <f>$B$35</f>
        <v>45</v>
      </c>
      <c r="O27">
        <f>$B$35</f>
        <v>45</v>
      </c>
      <c r="P27">
        <f>$B$35</f>
        <v>45</v>
      </c>
      <c r="Q27">
        <f>$B$35</f>
        <v>45</v>
      </c>
      <c r="R27">
        <f>$B$35</f>
        <v>45</v>
      </c>
      <c r="S27">
        <f>$B$35</f>
        <v>45</v>
      </c>
      <c r="T27">
        <f>$B$35</f>
        <v>45</v>
      </c>
      <c r="U27">
        <f>$B$35</f>
        <v>45</v>
      </c>
    </row>
    <row r="28">
      <c r="A28" t="str">
        <v>株価</v>
      </c>
      <c r="C28">
        <v>46.72</v>
      </c>
      <c r="D28">
        <v>40.78</v>
      </c>
      <c r="E28">
        <v>61.52</v>
      </c>
      <c r="F28">
        <v>86.4</v>
      </c>
      <c r="G28">
        <v>117</v>
      </c>
      <c r="H28">
        <v>132.76</v>
      </c>
      <c r="I28">
        <v>120.07</v>
      </c>
      <c r="J28">
        <v>108.92</v>
      </c>
      <c r="K28">
        <v>173.5</v>
      </c>
      <c r="L28">
        <v>186.26</v>
      </c>
      <c r="M28">
        <f>(SUM(J20:M20)*10^6)/$B$32*M27</f>
        <v>207.0348553</v>
      </c>
      <c r="N28">
        <f>(SUM(K20:N20)*10^6)/$B$32*N27</f>
        <v>244.7335915</v>
      </c>
      <c r="O28">
        <f>(SUM(L20:O20)*10^6)/$B$32*O27</f>
        <v>275.6181207</v>
      </c>
      <c r="P28">
        <f>(SUM(M20:P20)*10^6)/$B$32*P27</f>
        <v>304.3705157</v>
      </c>
      <c r="Q28">
        <f>(SUM(N20:Q20)*10^6)/$B$32*Q27</f>
        <v>334.8075673</v>
      </c>
      <c r="R28">
        <f>(SUM(O20:R20)*10^6)/$B$32*R27</f>
        <v>368.288324</v>
      </c>
      <c r="S28">
        <f>(SUM(P20:S20)*10^6)/$B$32*S27</f>
        <v>405.1171564</v>
      </c>
      <c r="T28">
        <f>(SUM(Q20:T20)*10^6)/$B$32*T27</f>
        <v>445.628872</v>
      </c>
      <c r="U28">
        <f>(SUM(R20:U20)*10^6)/$B$32*U27</f>
        <v>490.1917592</v>
      </c>
    </row>
    <row r="29">
      <c r="A29" t="str">
        <v>時価総額</v>
      </c>
      <c r="C29">
        <f>$B$32*C28</f>
        <v>1146041600000</v>
      </c>
      <c r="D29">
        <f>$B$32*D28</f>
        <v>1000333400000</v>
      </c>
      <c r="E29">
        <f>$B$32*E28</f>
        <v>1509085600000</v>
      </c>
      <c r="F29">
        <f>$B$32*F28</f>
        <v>2119392000000</v>
      </c>
      <c r="G29">
        <f>$B$32*G28</f>
        <v>2870010000000</v>
      </c>
      <c r="H29">
        <f>$B$32*H28</f>
        <v>3256602800000</v>
      </c>
      <c r="I29">
        <f>$B$32*I28</f>
        <v>2945317100000</v>
      </c>
      <c r="J29">
        <f>$B$32*J28</f>
        <v>2671807600000</v>
      </c>
      <c r="K29">
        <f>$B$32*K28</f>
        <v>4255955000000</v>
      </c>
      <c r="L29">
        <f>$B$32*L28</f>
        <v>4568957800000</v>
      </c>
      <c r="M29">
        <f>$B$32*M28</f>
        <v>5078565000000</v>
      </c>
      <c r="N29">
        <f>$B$32*N28</f>
        <v>6003315000000</v>
      </c>
      <c r="O29">
        <f>$B$32*O28</f>
        <v>6760912500000</v>
      </c>
      <c r="P29">
        <f>$B$32*P28</f>
        <v>7466208750000</v>
      </c>
      <c r="Q29">
        <f>$B$32*Q28</f>
        <v>8212829625000</v>
      </c>
      <c r="R29">
        <f>$B$32*R28</f>
        <v>9034112587500</v>
      </c>
      <c r="S29">
        <f>$B$32*S28</f>
        <v>9937523846250</v>
      </c>
      <c r="T29">
        <f>$B$32*T28</f>
        <v>10931276230875</v>
      </c>
      <c r="U29">
        <f>$B$32*U28</f>
        <v>12024403853963</v>
      </c>
    </row>
    <row r="31">
      <c r="A31" t="str">
        <v>設定パラメータ</v>
      </c>
    </row>
    <row r="32">
      <c r="A32" t="str">
        <v>発行株数</v>
      </c>
      <c r="B32">
        <v>24530000000</v>
      </c>
    </row>
    <row r="33">
      <c r="A33" t="str">
        <v>売上上昇倍率</v>
      </c>
      <c r="B33">
        <v>0.1</v>
      </c>
    </row>
    <row r="34">
      <c r="A34" t="str">
        <v>純利益売上比</v>
      </c>
      <c r="B34">
        <v>0.55</v>
      </c>
    </row>
    <row r="35">
      <c r="A35" t="str">
        <v>目標PER</v>
      </c>
      <c r="B35">
        <v>45</v>
      </c>
    </row>
  </sheetData>
  <ignoredErrors>
    <ignoredError numberStoredAsText="1" sqref="A1:U35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NVDA業績</vt:lpstr>
      <vt:lpstr>NVIDIA参考画像</vt:lpstr>
      <vt:lpstr>売上トレンド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